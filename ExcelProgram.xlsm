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\Desktop\Profile For SE\"/>
    </mc:Choice>
  </mc:AlternateContent>
  <xr:revisionPtr revIDLastSave="0" documentId="13_ncr:1_{C43D0D9C-04A8-4A44-A08C-8753EE0CE47C}" xr6:coauthVersionLast="45" xr6:coauthVersionMax="45" xr10:uidLastSave="{00000000-0000-0000-0000-000000000000}"/>
  <bookViews>
    <workbookView xWindow="-120" yWindow="-120" windowWidth="29040" windowHeight="15840" tabRatio="543" activeTab="2" xr2:uid="{00000000-000D-0000-FFFF-FFFF00000000}"/>
  </bookViews>
  <sheets>
    <sheet name="_members" sheetId="10" r:id="rId1"/>
    <sheet name="_dayone" sheetId="1" r:id="rId2"/>
    <sheet name="_daytwo" sheetId="12" r:id="rId3"/>
    <sheet name="_daythree" sheetId="13" r:id="rId4"/>
  </sheets>
  <externalReferences>
    <externalReference r:id="rId5"/>
    <externalReference r:id="rId6"/>
  </externalReferences>
  <definedNames>
    <definedName name="Accessory">[1]Exercises!$E$3:$E$50</definedName>
    <definedName name="ATHLETEMAXES">[2]Athletes!$A$3:$I$98</definedName>
    <definedName name="BigLift">[1]Exercises!$A$3:$A$50</definedName>
    <definedName name="LowPress">#REF!</definedName>
    <definedName name="LowPull">#REF!</definedName>
    <definedName name="MajorAssist">[1]Exercises!$C$3:$C$50</definedName>
    <definedName name="MEMBERMAXES">_members!$A$2:$H$35</definedName>
    <definedName name="Power">#REF!</definedName>
    <definedName name="TypeMax" localSheetId="3">_daythree!$N$3:$T$5</definedName>
    <definedName name="TypeMax" localSheetId="2">_daytwo!$N$3:$T$5</definedName>
    <definedName name="TypeMax">_dayone!$N$3:$T$5</definedName>
    <definedName name="Uppress">#REF!</definedName>
    <definedName name="Uppul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13" l="1"/>
  <c r="T5" i="13" s="1"/>
  <c r="S4" i="13"/>
  <c r="S5" i="13" s="1"/>
  <c r="R4" i="13"/>
  <c r="R5" i="13" s="1"/>
  <c r="Q4" i="13"/>
  <c r="Q5" i="13" s="1"/>
  <c r="P4" i="13"/>
  <c r="P5" i="13" s="1"/>
  <c r="O4" i="13"/>
  <c r="F31" i="13" s="1"/>
  <c r="N4" i="13"/>
  <c r="N5" i="13" s="1"/>
  <c r="T4" i="12"/>
  <c r="S4" i="12"/>
  <c r="S5" i="12" s="1"/>
  <c r="R4" i="12"/>
  <c r="R5" i="12" s="1"/>
  <c r="Q4" i="12"/>
  <c r="Q5" i="12" s="1"/>
  <c r="P4" i="12"/>
  <c r="P5" i="12" s="1"/>
  <c r="O4" i="12"/>
  <c r="O5" i="12" s="1"/>
  <c r="N4" i="12"/>
  <c r="N5" i="12" s="1"/>
  <c r="I31" i="13" l="1"/>
  <c r="M27" i="13"/>
  <c r="I27" i="13"/>
  <c r="U30" i="13"/>
  <c r="U24" i="13"/>
  <c r="M31" i="13"/>
  <c r="Q30" i="13"/>
  <c r="Q24" i="13"/>
  <c r="M30" i="13"/>
  <c r="M24" i="13"/>
  <c r="Q31" i="13"/>
  <c r="U31" i="13"/>
  <c r="I30" i="13"/>
  <c r="I24" i="13"/>
  <c r="Q21" i="13"/>
  <c r="U29" i="13"/>
  <c r="U21" i="13"/>
  <c r="M28" i="13"/>
  <c r="Q29" i="13"/>
  <c r="M29" i="13"/>
  <c r="M21" i="13"/>
  <c r="I21" i="13"/>
  <c r="I18" i="13"/>
  <c r="Q27" i="13"/>
  <c r="I29" i="13"/>
  <c r="M18" i="13"/>
  <c r="U27" i="13"/>
  <c r="U28" i="13"/>
  <c r="U18" i="13"/>
  <c r="Q28" i="13"/>
  <c r="Q18" i="13"/>
  <c r="I28" i="13"/>
  <c r="F36" i="13"/>
  <c r="O5" i="13"/>
  <c r="F31" i="12"/>
  <c r="I31" i="12" s="1"/>
  <c r="T5" i="12"/>
  <c r="F36" i="12"/>
  <c r="U36" i="13" l="1"/>
  <c r="Q36" i="13"/>
  <c r="M36" i="13"/>
  <c r="I36" i="13"/>
  <c r="U34" i="13"/>
  <c r="M34" i="13"/>
  <c r="Q34" i="13"/>
  <c r="I34" i="13"/>
  <c r="U32" i="13"/>
  <c r="Q32" i="13"/>
  <c r="M32" i="13"/>
  <c r="I32" i="13"/>
  <c r="M18" i="12"/>
  <c r="Q18" i="12"/>
  <c r="U18" i="12"/>
  <c r="I21" i="12"/>
  <c r="Q21" i="12"/>
  <c r="U29" i="12"/>
  <c r="Q31" i="12"/>
  <c r="I30" i="12"/>
  <c r="M21" i="12"/>
  <c r="U28" i="12"/>
  <c r="M29" i="12"/>
  <c r="Q29" i="12"/>
  <c r="I28" i="12"/>
  <c r="I24" i="12"/>
  <c r="M30" i="12"/>
  <c r="U31" i="12"/>
  <c r="Q27" i="12"/>
  <c r="M24" i="12"/>
  <c r="M28" i="12"/>
  <c r="Q28" i="12"/>
  <c r="Q24" i="12"/>
  <c r="I29" i="12"/>
  <c r="U21" i="12"/>
  <c r="U30" i="12"/>
  <c r="Q30" i="12"/>
  <c r="U27" i="12"/>
  <c r="I27" i="12"/>
  <c r="U24" i="12"/>
  <c r="M31" i="12"/>
  <c r="M27" i="12"/>
  <c r="I18" i="12"/>
  <c r="U36" i="12"/>
  <c r="M36" i="12"/>
  <c r="Q36" i="12"/>
  <c r="I36" i="12"/>
  <c r="Q34" i="12"/>
  <c r="U34" i="12"/>
  <c r="I34" i="12"/>
  <c r="U32" i="12"/>
  <c r="Q32" i="12"/>
  <c r="M34" i="12"/>
  <c r="M32" i="12"/>
  <c r="I32" i="12"/>
  <c r="T4" i="1"/>
  <c r="T5" i="1" s="1"/>
  <c r="S4" i="1"/>
  <c r="S5" i="1" s="1"/>
  <c r="R4" i="1"/>
  <c r="R5" i="1" s="1"/>
  <c r="P4" i="1"/>
  <c r="P5" i="1" s="1"/>
  <c r="Q4" i="1"/>
  <c r="Q5" i="1" s="1"/>
  <c r="O4" i="1"/>
  <c r="O5" i="1" s="1"/>
  <c r="N4" i="1"/>
  <c r="N5" i="1" s="1"/>
  <c r="F31" i="1" l="1"/>
  <c r="Q30" i="1" s="1"/>
  <c r="F36" i="1"/>
  <c r="U32" i="1" l="1"/>
  <c r="M32" i="1"/>
  <c r="U34" i="1"/>
  <c r="I18" i="1"/>
  <c r="I21" i="1"/>
  <c r="I24" i="1"/>
  <c r="I28" i="1"/>
  <c r="I34" i="1"/>
  <c r="Q32" i="1"/>
  <c r="I36" i="1"/>
  <c r="M34" i="1"/>
  <c r="I32" i="1"/>
  <c r="M36" i="1"/>
  <c r="Q36" i="1"/>
  <c r="Q34" i="1"/>
  <c r="U36" i="1"/>
  <c r="U31" i="1"/>
  <c r="M24" i="1"/>
  <c r="Q29" i="1"/>
  <c r="M21" i="1"/>
  <c r="Q28" i="1"/>
  <c r="M18" i="1"/>
  <c r="Q27" i="1"/>
  <c r="M31" i="1"/>
  <c r="M27" i="1"/>
  <c r="U24" i="1"/>
  <c r="Q18" i="1"/>
  <c r="U30" i="1"/>
  <c r="M29" i="1"/>
  <c r="M28" i="1"/>
  <c r="Q31" i="1"/>
  <c r="I29" i="1"/>
  <c r="I27" i="1"/>
  <c r="U29" i="1"/>
  <c r="I31" i="1"/>
  <c r="U28" i="1"/>
  <c r="U21" i="1"/>
  <c r="M30" i="1"/>
  <c r="U27" i="1"/>
  <c r="Q24" i="1"/>
  <c r="I30" i="1"/>
  <c r="U18" i="1"/>
  <c r="Q21" i="1"/>
</calcChain>
</file>

<file path=xl/sharedStrings.xml><?xml version="1.0" encoding="utf-8"?>
<sst xmlns="http://schemas.openxmlformats.org/spreadsheetml/2006/main" count="661" uniqueCount="206">
  <si>
    <t>Reps</t>
  </si>
  <si>
    <t>WT</t>
  </si>
  <si>
    <t>%</t>
  </si>
  <si>
    <t>Range</t>
  </si>
  <si>
    <t>Week 1</t>
  </si>
  <si>
    <t>Week 2</t>
  </si>
  <si>
    <t>Week 3</t>
  </si>
  <si>
    <t>Week 4</t>
  </si>
  <si>
    <t>Day 1</t>
  </si>
  <si>
    <t>Bushwackers</t>
  </si>
  <si>
    <t>5ea</t>
  </si>
  <si>
    <t>Single Joint</t>
  </si>
  <si>
    <t>Day 2</t>
  </si>
  <si>
    <t>MR</t>
  </si>
  <si>
    <t>Flips</t>
  </si>
  <si>
    <t>6ea</t>
  </si>
  <si>
    <t>Day 3</t>
  </si>
  <si>
    <t>Lateral Lunge</t>
  </si>
  <si>
    <t>Tate Press</t>
  </si>
  <si>
    <t>Dynamic Warm up 10yd</t>
  </si>
  <si>
    <t>15s</t>
  </si>
  <si>
    <t>TB DL 1x5</t>
  </si>
  <si>
    <t>TB DL 1x3</t>
  </si>
  <si>
    <t>TB DL 1x1</t>
  </si>
  <si>
    <t>Trap Bar DeadLift</t>
  </si>
  <si>
    <t>Max Strength</t>
  </si>
  <si>
    <t>Speed</t>
  </si>
  <si>
    <t>5+</t>
  </si>
  <si>
    <t>Bench Press</t>
  </si>
  <si>
    <t>Back Squat</t>
  </si>
  <si>
    <t>BSQ 1x5</t>
  </si>
  <si>
    <t>BSQ 1x3</t>
  </si>
  <si>
    <t>BSQ 1x1</t>
  </si>
  <si>
    <t>Lifting Max</t>
  </si>
  <si>
    <t>3+</t>
  </si>
  <si>
    <t>1+</t>
  </si>
  <si>
    <t>TB Shrugs</t>
  </si>
  <si>
    <t>Band Hamstring Curls</t>
  </si>
  <si>
    <t>Spiderman Curls</t>
  </si>
  <si>
    <t>Step Ups</t>
  </si>
  <si>
    <t>Dips</t>
  </si>
  <si>
    <t>Band OH Pullaparts</t>
  </si>
  <si>
    <t>Figure 4 Crunch x 20 LT</t>
  </si>
  <si>
    <t>Figure 4 Crunch x 20 RT</t>
  </si>
  <si>
    <t>Side Planks x 30s LT</t>
  </si>
  <si>
    <t>Side Planks x 30s RT</t>
  </si>
  <si>
    <t>Supermans x 15</t>
  </si>
  <si>
    <t>Leg Lowers x 12</t>
  </si>
  <si>
    <t>REP</t>
  </si>
  <si>
    <t>LH F&amp;B</t>
  </si>
  <si>
    <t>10s</t>
  </si>
  <si>
    <t>LH Side</t>
  </si>
  <si>
    <t>LH Ali</t>
  </si>
  <si>
    <t>Couch Stretch LT&amp;RT</t>
  </si>
  <si>
    <t>SL RDL</t>
  </si>
  <si>
    <t>Neck (Flex)</t>
  </si>
  <si>
    <t>Neck (Lateral)</t>
  </si>
  <si>
    <t>Holds</t>
  </si>
  <si>
    <t>30s</t>
  </si>
  <si>
    <t>BB RDL</t>
  </si>
  <si>
    <t>Plank x 30s</t>
  </si>
  <si>
    <t>45 Degree Lunges</t>
  </si>
  <si>
    <t>Birddog x 12</t>
  </si>
  <si>
    <t>BB Row</t>
  </si>
  <si>
    <t>Plate Bends x 20 LT</t>
  </si>
  <si>
    <t>Plate Bends x 20 RT</t>
  </si>
  <si>
    <t>Band Lat Pulls down</t>
  </si>
  <si>
    <t>Split squat</t>
  </si>
  <si>
    <t>GB squat Hold</t>
  </si>
  <si>
    <t>Chest Fly</t>
  </si>
  <si>
    <t>Band lat Stretch LT,RT</t>
  </si>
  <si>
    <t>MB Slams</t>
  </si>
  <si>
    <t>Band Tricep Press</t>
  </si>
  <si>
    <t>Neck (Ext)</t>
  </si>
  <si>
    <t>Plate Pinch LT &amp; RT</t>
  </si>
  <si>
    <t>FT QP F&amp;B</t>
  </si>
  <si>
    <t>FT QP Side</t>
  </si>
  <si>
    <t>FT QP Ali</t>
  </si>
  <si>
    <t>SuperSquat LT</t>
  </si>
  <si>
    <t>20s</t>
  </si>
  <si>
    <t>SuperSquat RT</t>
  </si>
  <si>
    <t>Air Squat Jump</t>
  </si>
  <si>
    <t>BB Shrugs</t>
  </si>
  <si>
    <t>BB Hip Lift</t>
  </si>
  <si>
    <t>Lat Pull Down</t>
  </si>
  <si>
    <t>Pull Ups - NG</t>
  </si>
  <si>
    <t>Military Press</t>
  </si>
  <si>
    <t>Y,T,W Laying</t>
  </si>
  <si>
    <t>Dorsi Flexion</t>
  </si>
  <si>
    <t>TRX T Raise</t>
  </si>
  <si>
    <t>Aquamas x 15</t>
  </si>
  <si>
    <t>Band Hold x 20s LT</t>
  </si>
  <si>
    <t>Band Hold x 20s RT</t>
  </si>
  <si>
    <t>Flutter Kicks x 25s</t>
  </si>
  <si>
    <t>"Its hard to beat a person that never gives up" -Babe Ruth</t>
  </si>
  <si>
    <t>"Just play. Have fun. Enjoy the game." -Michael Jordan</t>
  </si>
  <si>
    <t>"It's not the size of the dog in the fight, but the size of the fight in the dog." -Archie Griffen</t>
  </si>
  <si>
    <t>A-Skip</t>
  </si>
  <si>
    <t>B-Skip</t>
  </si>
  <si>
    <t>Backpedal w/ Reach</t>
  </si>
  <si>
    <t>Shuffle</t>
  </si>
  <si>
    <t>Caroica Low Knee</t>
  </si>
  <si>
    <t>Caroica High Knee</t>
  </si>
  <si>
    <t>Hard 10 Sprint</t>
  </si>
  <si>
    <t>Lift Begins</t>
  </si>
  <si>
    <t>Rest</t>
  </si>
  <si>
    <t>Squat Jumps</t>
  </si>
  <si>
    <t>Split Stance Jumps</t>
  </si>
  <si>
    <t>Buttkick Jumps</t>
  </si>
  <si>
    <t>Knee to Chest Jumps</t>
  </si>
  <si>
    <t>Plyo w/ 10yd Sprint</t>
  </si>
  <si>
    <t>L - Drill</t>
  </si>
  <si>
    <t>T - Drill</t>
  </si>
  <si>
    <t>5.10.5</t>
  </si>
  <si>
    <t>Dynamic Warm Up</t>
  </si>
  <si>
    <t>3-4min</t>
  </si>
  <si>
    <t>PNF Stetch</t>
  </si>
  <si>
    <t>Snacks</t>
  </si>
  <si>
    <t>Knee Pull</t>
  </si>
  <si>
    <t>Quad Pull</t>
  </si>
  <si>
    <t>Lateral Lunges</t>
  </si>
  <si>
    <t>Straight Leg Kick</t>
  </si>
  <si>
    <t>A-skip</t>
  </si>
  <si>
    <t>B-skip</t>
  </si>
  <si>
    <t>Backpedal</t>
  </si>
  <si>
    <t>Hard Sprint x 2</t>
  </si>
  <si>
    <t>Post Lift</t>
  </si>
  <si>
    <t>Box Drill</t>
  </si>
  <si>
    <t>45 Degree</t>
  </si>
  <si>
    <t>2ea</t>
  </si>
  <si>
    <t>M - Drill</t>
  </si>
  <si>
    <t>Figure 8</t>
  </si>
  <si>
    <t>3ea</t>
  </si>
  <si>
    <t>2 minute break</t>
  </si>
  <si>
    <t>PNF</t>
  </si>
  <si>
    <t>Sled Push</t>
  </si>
  <si>
    <t>Band Sprints</t>
  </si>
  <si>
    <t>38 sec</t>
  </si>
  <si>
    <t>MAS 110 Slow Time :20seconds</t>
  </si>
  <si>
    <t>Rest 3 minutes</t>
  </si>
  <si>
    <t>18s</t>
  </si>
  <si>
    <t>Star Drill :15seconds on</t>
  </si>
  <si>
    <t>Flying Sprints 40 yd : 50%,75%,100%</t>
  </si>
  <si>
    <t>Band Stretch</t>
  </si>
  <si>
    <t>Shoulder Rehab</t>
  </si>
  <si>
    <t>Exercise</t>
  </si>
  <si>
    <t>Sets</t>
  </si>
  <si>
    <t>Interal Rot</t>
  </si>
  <si>
    <t>External</t>
  </si>
  <si>
    <t>Scare Crow</t>
  </si>
  <si>
    <t>PNF Stretch</t>
  </si>
  <si>
    <t>Pool Leg Kicks: 30 seconds on</t>
  </si>
  <si>
    <t>Pool Run over</t>
  </si>
  <si>
    <t>Pool Squat Jumps</t>
  </si>
  <si>
    <t>Part 1</t>
  </si>
  <si>
    <t>Part 2</t>
  </si>
  <si>
    <t>Dimond Push Ups</t>
  </si>
  <si>
    <t>Crunchs W/ 2sec Pause</t>
  </si>
  <si>
    <t>Leg Lowers</t>
  </si>
  <si>
    <t>Target Sit Ups</t>
  </si>
  <si>
    <t>Times</t>
  </si>
  <si>
    <t>TImes</t>
  </si>
  <si>
    <t>WK1</t>
  </si>
  <si>
    <t>WK2</t>
  </si>
  <si>
    <t>Notes</t>
  </si>
  <si>
    <t>Summer</t>
  </si>
  <si>
    <t>List</t>
  </si>
  <si>
    <t>SPP</t>
  </si>
  <si>
    <t>Texans 20yd</t>
  </si>
  <si>
    <t>300yd Shuddle Week 2,3 Only</t>
  </si>
  <si>
    <t>15,16,18</t>
  </si>
  <si>
    <t>Full</t>
  </si>
  <si>
    <t>Tred Water For Time: 15 min Max</t>
  </si>
  <si>
    <t>Tuesday</t>
  </si>
  <si>
    <t>Thrusday</t>
  </si>
  <si>
    <t>Name</t>
  </si>
  <si>
    <t>Deadlift</t>
  </si>
  <si>
    <t>Clean</t>
  </si>
  <si>
    <t>Snatch</t>
  </si>
  <si>
    <t>Front Squat</t>
  </si>
  <si>
    <t>Trap Bar</t>
  </si>
  <si>
    <t>Test 1</t>
  </si>
  <si>
    <t>Specific Movement Prep</t>
  </si>
  <si>
    <t>Maxes</t>
  </si>
  <si>
    <t>SQ</t>
  </si>
  <si>
    <t>BP</t>
  </si>
  <si>
    <t>DL</t>
  </si>
  <si>
    <t>CL</t>
  </si>
  <si>
    <t>SN</t>
  </si>
  <si>
    <t>FS</t>
  </si>
  <si>
    <t>TB</t>
  </si>
  <si>
    <t>Current Max</t>
  </si>
  <si>
    <t>Training Max</t>
  </si>
  <si>
    <t xml:space="preserve">                                   </t>
  </si>
  <si>
    <t>College Name</t>
  </si>
  <si>
    <t>Dj</t>
  </si>
  <si>
    <t>Mike</t>
  </si>
  <si>
    <t>Nonnie</t>
  </si>
  <si>
    <t>Moe</t>
  </si>
  <si>
    <t>Ashley</t>
  </si>
  <si>
    <t>Jane</t>
  </si>
  <si>
    <t>Medical/Rehab/Pre-hab</t>
  </si>
  <si>
    <t>Hang Clean</t>
  </si>
  <si>
    <t>BP 1x5</t>
  </si>
  <si>
    <t>BP DL 1x3</t>
  </si>
  <si>
    <t>BP DL 1x1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</si>
</sst>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0"/>
      <name val="Geneva"/>
    </font>
    <font>
      <b/>
      <sz val="8"/>
      <name val="Geneva"/>
    </font>
    <font>
      <sz val="8"/>
      <name val="Geneva"/>
    </font>
    <font>
      <sz val="9"/>
      <name val="Geneva"/>
    </font>
    <font>
      <sz val="7"/>
      <name val="Geneva"/>
    </font>
    <font>
      <sz val="12"/>
      <name val="Geneva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72"/>
      <color theme="1"/>
      <name val="Century Schoolbook"/>
      <family val="1"/>
    </font>
    <font>
      <b/>
      <sz val="7"/>
      <name val="Geneva"/>
    </font>
    <font>
      <sz val="72"/>
      <color rgb="FF339966"/>
      <name val="Century Schoolbook"/>
      <family val="1"/>
    </font>
    <font>
      <b/>
      <sz val="11"/>
      <name val="Geneva"/>
    </font>
    <font>
      <sz val="6"/>
      <name val="Geneva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Arial"/>
      <family val="2"/>
    </font>
    <font>
      <b/>
      <sz val="18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17" fillId="0" borderId="0" applyFont="0" applyFill="0" applyBorder="0" applyAlignment="0" applyProtection="0"/>
    <xf numFmtId="0" fontId="15" fillId="0" borderId="0"/>
  </cellStyleXfs>
  <cellXfs count="504">
    <xf numFmtId="0" fontId="0" fillId="0" borderId="0" xfId="0"/>
    <xf numFmtId="0" fontId="1" fillId="0" borderId="9" xfId="1" applyBorder="1" applyAlignment="1">
      <alignment horizontal="center"/>
    </xf>
    <xf numFmtId="0" fontId="3" fillId="0" borderId="23" xfId="1" applyFont="1" applyBorder="1"/>
    <xf numFmtId="0" fontId="1" fillId="0" borderId="23" xfId="1" applyBorder="1" applyAlignment="1">
      <alignment horizontal="center"/>
    </xf>
    <xf numFmtId="0" fontId="1" fillId="0" borderId="24" xfId="1" applyBorder="1"/>
    <xf numFmtId="0" fontId="1" fillId="0" borderId="25" xfId="1" applyBorder="1" applyAlignment="1">
      <alignment horizontal="center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Border="1"/>
    <xf numFmtId="0" fontId="1" fillId="0" borderId="33" xfId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30" xfId="1" applyFill="1" applyBorder="1" applyAlignment="1">
      <alignment horizontal="center" vertical="center"/>
    </xf>
    <xf numFmtId="0" fontId="1" fillId="4" borderId="31" xfId="1" applyFill="1" applyBorder="1" applyAlignment="1">
      <alignment horizontal="center" vertical="center"/>
    </xf>
    <xf numFmtId="0" fontId="3" fillId="4" borderId="35" xfId="1" applyFont="1" applyFill="1" applyBorder="1" applyAlignment="1">
      <alignment horizontal="center" vertical="center"/>
    </xf>
    <xf numFmtId="16" fontId="3" fillId="4" borderId="30" xfId="1" applyNumberFormat="1" applyFont="1" applyFill="1" applyBorder="1" applyAlignment="1">
      <alignment horizontal="center" vertical="center"/>
    </xf>
    <xf numFmtId="9" fontId="4" fillId="0" borderId="34" xfId="1" applyNumberFormat="1" applyFont="1" applyBorder="1" applyAlignment="1">
      <alignment horizontal="center" vertical="center"/>
    </xf>
    <xf numFmtId="9" fontId="4" fillId="0" borderId="19" xfId="1" applyNumberFormat="1" applyFont="1" applyBorder="1" applyAlignment="1">
      <alignment horizontal="center" vertical="center"/>
    </xf>
    <xf numFmtId="9" fontId="4" fillId="0" borderId="35" xfId="1" applyNumberFormat="1" applyFont="1" applyBorder="1" applyAlignment="1">
      <alignment horizontal="center" vertical="center"/>
    </xf>
    <xf numFmtId="0" fontId="5" fillId="4" borderId="34" xfId="1" applyFont="1" applyFill="1" applyBorder="1" applyAlignment="1">
      <alignment horizontal="center" vertical="center" readingOrder="1"/>
    </xf>
    <xf numFmtId="0" fontId="1" fillId="4" borderId="27" xfId="1" applyFill="1" applyBorder="1" applyAlignment="1">
      <alignment horizontal="center" vertical="center" readingOrder="1"/>
    </xf>
    <xf numFmtId="0" fontId="1" fillId="4" borderId="28" xfId="1" applyFill="1" applyBorder="1" applyAlignment="1">
      <alignment horizontal="center" vertical="center" readingOrder="1"/>
    </xf>
    <xf numFmtId="0" fontId="3" fillId="4" borderId="35" xfId="1" applyFont="1" applyFill="1" applyBorder="1" applyAlignment="1">
      <alignment horizontal="center" vertical="center" readingOrder="1"/>
    </xf>
    <xf numFmtId="0" fontId="3" fillId="4" borderId="30" xfId="1" applyFont="1" applyFill="1" applyBorder="1" applyAlignment="1">
      <alignment horizontal="center" vertical="center" readingOrder="1"/>
    </xf>
    <xf numFmtId="0" fontId="1" fillId="4" borderId="30" xfId="1" applyFill="1" applyBorder="1" applyAlignment="1">
      <alignment horizontal="center" vertical="center" readingOrder="1"/>
    </xf>
    <xf numFmtId="0" fontId="1" fillId="4" borderId="31" xfId="1" applyFill="1" applyBorder="1" applyAlignment="1">
      <alignment horizontal="center" vertical="center" readingOrder="1"/>
    </xf>
    <xf numFmtId="0" fontId="1" fillId="0" borderId="27" xfId="1" applyBorder="1" applyAlignment="1">
      <alignment horizontal="center" vertical="center" readingOrder="1"/>
    </xf>
    <xf numFmtId="9" fontId="1" fillId="0" borderId="28" xfId="1" applyNumberFormat="1" applyBorder="1" applyAlignment="1">
      <alignment horizontal="center" vertical="center" readingOrder="1"/>
    </xf>
    <xf numFmtId="0" fontId="1" fillId="0" borderId="33" xfId="1" applyBorder="1" applyAlignment="1">
      <alignment horizontal="center" vertical="center" readingOrder="1"/>
    </xf>
    <xf numFmtId="0" fontId="1" fillId="0" borderId="31" xfId="1" applyBorder="1" applyAlignment="1">
      <alignment horizontal="center" vertical="center" readingOrder="1"/>
    </xf>
    <xf numFmtId="0" fontId="3" fillId="0" borderId="30" xfId="1" applyFont="1" applyBorder="1" applyAlignment="1">
      <alignment horizontal="center" vertical="center" readingOrder="1"/>
    </xf>
    <xf numFmtId="0" fontId="4" fillId="0" borderId="34" xfId="1" applyFont="1" applyBorder="1" applyAlignment="1">
      <alignment horizontal="center" vertical="center" readingOrder="1"/>
    </xf>
    <xf numFmtId="0" fontId="4" fillId="0" borderId="27" xfId="1" applyFont="1" applyBorder="1" applyAlignment="1">
      <alignment horizontal="center" vertical="center" readingOrder="1"/>
    </xf>
    <xf numFmtId="0" fontId="4" fillId="0" borderId="28" xfId="1" applyFont="1" applyBorder="1" applyAlignment="1">
      <alignment horizontal="center" vertical="center" readingOrder="1"/>
    </xf>
    <xf numFmtId="0" fontId="4" fillId="0" borderId="19" xfId="1" applyFont="1" applyBorder="1" applyAlignment="1">
      <alignment horizontal="center" vertical="center" readingOrder="1"/>
    </xf>
    <xf numFmtId="0" fontId="4" fillId="0" borderId="4" xfId="1" applyFont="1" applyBorder="1" applyAlignment="1">
      <alignment horizontal="center" vertical="center" readingOrder="1"/>
    </xf>
    <xf numFmtId="0" fontId="4" fillId="0" borderId="33" xfId="1" applyFont="1" applyBorder="1" applyAlignment="1">
      <alignment horizontal="center" vertical="center" readingOrder="1"/>
    </xf>
    <xf numFmtId="0" fontId="4" fillId="0" borderId="35" xfId="1" applyFont="1" applyBorder="1" applyAlignment="1">
      <alignment horizontal="center" vertical="center" readingOrder="1"/>
    </xf>
    <xf numFmtId="0" fontId="4" fillId="0" borderId="30" xfId="1" applyFont="1" applyBorder="1" applyAlignment="1">
      <alignment horizontal="center" vertical="center" readingOrder="1"/>
    </xf>
    <xf numFmtId="0" fontId="4" fillId="0" borderId="31" xfId="1" applyFont="1" applyBorder="1" applyAlignment="1">
      <alignment horizontal="center" vertical="center" readingOrder="1"/>
    </xf>
    <xf numFmtId="0" fontId="3" fillId="0" borderId="27" xfId="1" applyFont="1" applyBorder="1" applyAlignment="1">
      <alignment horizontal="center" vertical="center" readingOrder="1"/>
    </xf>
    <xf numFmtId="0" fontId="1" fillId="0" borderId="28" xfId="1" applyBorder="1" applyAlignment="1">
      <alignment horizontal="center" vertical="center" readingOrder="1"/>
    </xf>
    <xf numFmtId="0" fontId="1" fillId="0" borderId="30" xfId="1" applyBorder="1" applyAlignment="1">
      <alignment horizontal="center" vertical="center" readingOrder="1"/>
    </xf>
    <xf numFmtId="0" fontId="1" fillId="0" borderId="29" xfId="1" applyBorder="1" applyAlignment="1">
      <alignment horizontal="center" vertical="center" readingOrder="1"/>
    </xf>
    <xf numFmtId="0" fontId="5" fillId="3" borderId="34" xfId="1" applyFont="1" applyFill="1" applyBorder="1" applyAlignment="1">
      <alignment horizontal="center" vertical="center"/>
    </xf>
    <xf numFmtId="0" fontId="1" fillId="3" borderId="27" xfId="1" applyFill="1" applyBorder="1" applyAlignment="1">
      <alignment horizontal="center" vertical="center"/>
    </xf>
    <xf numFmtId="0" fontId="1" fillId="3" borderId="28" xfId="1" applyFill="1" applyBorder="1" applyAlignment="1">
      <alignment horizontal="center" vertical="center"/>
    </xf>
    <xf numFmtId="0" fontId="14" fillId="3" borderId="35" xfId="1" applyFont="1" applyFill="1" applyBorder="1" applyAlignment="1">
      <alignment horizontal="center" vertical="center"/>
    </xf>
    <xf numFmtId="0" fontId="3" fillId="3" borderId="30" xfId="1" applyFont="1" applyFill="1" applyBorder="1" applyAlignment="1">
      <alignment horizontal="center" vertical="center"/>
    </xf>
    <xf numFmtId="0" fontId="1" fillId="3" borderId="30" xfId="1" applyFill="1" applyBorder="1" applyAlignment="1">
      <alignment horizontal="center" vertical="center"/>
    </xf>
    <xf numFmtId="0" fontId="1" fillId="3" borderId="31" xfId="1" applyFill="1" applyBorder="1" applyAlignment="1">
      <alignment horizontal="center" vertical="center"/>
    </xf>
    <xf numFmtId="0" fontId="4" fillId="3" borderId="27" xfId="1" applyNumberFormat="1" applyFont="1" applyFill="1" applyBorder="1" applyAlignment="1">
      <alignment horizontal="center" vertical="center"/>
    </xf>
    <xf numFmtId="0" fontId="4" fillId="4" borderId="27" xfId="1" applyNumberFormat="1" applyFont="1" applyFill="1" applyBorder="1" applyAlignment="1">
      <alignment horizontal="center" vertical="center" readingOrder="1"/>
    </xf>
    <xf numFmtId="0" fontId="8" fillId="0" borderId="54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34" xfId="1" applyBorder="1" applyAlignment="1">
      <alignment horizontal="center" vertical="center" readingOrder="1"/>
    </xf>
    <xf numFmtId="0" fontId="1" fillId="0" borderId="35" xfId="1" applyBorder="1" applyAlignment="1">
      <alignment horizontal="center" vertical="center" readingOrder="1"/>
    </xf>
    <xf numFmtId="0" fontId="19" fillId="4" borderId="9" xfId="3" applyFont="1" applyFill="1" applyBorder="1" applyAlignment="1">
      <alignment horizontal="center" vertical="center" shrinkToFit="1"/>
    </xf>
    <xf numFmtId="0" fontId="20" fillId="4" borderId="23" xfId="3" applyFont="1" applyFill="1" applyBorder="1" applyAlignment="1">
      <alignment horizontal="center" vertical="center" shrinkToFit="1"/>
    </xf>
    <xf numFmtId="0" fontId="21" fillId="0" borderId="59" xfId="0" applyFont="1" applyBorder="1" applyAlignment="1">
      <alignment horizontal="center" vertical="center" shrinkToFit="1"/>
    </xf>
    <xf numFmtId="0" fontId="21" fillId="0" borderId="60" xfId="0" applyFont="1" applyBorder="1" applyAlignment="1">
      <alignment horizontal="center" vertical="center" shrinkToFit="1"/>
    </xf>
    <xf numFmtId="9" fontId="1" fillId="0" borderId="36" xfId="1" applyNumberFormat="1" applyFont="1" applyBorder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37" xfId="1" applyFont="1" applyBorder="1" applyAlignment="1">
      <alignment horizontal="center" vertical="center"/>
    </xf>
    <xf numFmtId="0" fontId="1" fillId="0" borderId="33" xfId="1" applyFont="1" applyBorder="1" applyAlignment="1">
      <alignment horizontal="center" vertical="center"/>
    </xf>
    <xf numFmtId="9" fontId="1" fillId="0" borderId="32" xfId="1" applyNumberFormat="1" applyFont="1" applyBorder="1" applyAlignment="1">
      <alignment horizontal="center" vertical="center"/>
    </xf>
    <xf numFmtId="0" fontId="1" fillId="0" borderId="4" xfId="1" applyFont="1" applyBorder="1" applyAlignment="1">
      <alignment horizontal="center" vertical="center"/>
    </xf>
    <xf numFmtId="0" fontId="1" fillId="0" borderId="10" xfId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27" xfId="1" applyBorder="1" applyAlignment="1" applyProtection="1">
      <alignment horizontal="center" vertical="center"/>
      <protection hidden="1"/>
    </xf>
    <xf numFmtId="9" fontId="1" fillId="0" borderId="28" xfId="1" applyNumberFormat="1" applyBorder="1" applyAlignment="1" applyProtection="1">
      <alignment horizontal="center" vertical="center"/>
      <protection hidden="1"/>
    </xf>
    <xf numFmtId="0" fontId="1" fillId="0" borderId="33" xfId="1" applyBorder="1" applyAlignment="1" applyProtection="1">
      <alignment horizontal="center" vertical="center"/>
      <protection hidden="1"/>
    </xf>
    <xf numFmtId="0" fontId="1" fillId="0" borderId="31" xfId="1" applyBorder="1" applyAlignment="1" applyProtection="1">
      <alignment horizontal="center" vertical="center"/>
      <protection hidden="1"/>
    </xf>
    <xf numFmtId="9" fontId="1" fillId="0" borderId="36" xfId="1" applyNumberFormat="1" applyFont="1" applyBorder="1" applyAlignment="1" applyProtection="1">
      <alignment horizontal="center" vertical="center"/>
      <protection hidden="1"/>
    </xf>
    <xf numFmtId="0" fontId="1" fillId="0" borderId="8" xfId="1" applyFont="1" applyBorder="1" applyAlignment="1" applyProtection="1">
      <alignment horizontal="center" vertical="center"/>
      <protection hidden="1"/>
    </xf>
    <xf numFmtId="0" fontId="1" fillId="0" borderId="8" xfId="1" applyNumberFormat="1" applyFont="1" applyBorder="1" applyAlignment="1" applyProtection="1">
      <alignment horizontal="center" vertical="center"/>
      <protection hidden="1"/>
    </xf>
    <xf numFmtId="0" fontId="1" fillId="0" borderId="37" xfId="1" applyFont="1" applyBorder="1" applyAlignment="1" applyProtection="1">
      <alignment horizontal="center" vertical="center"/>
      <protection hidden="1"/>
    </xf>
    <xf numFmtId="0" fontId="1" fillId="0" borderId="33" xfId="1" applyFont="1" applyBorder="1" applyAlignment="1" applyProtection="1">
      <alignment horizontal="center" vertical="center"/>
      <protection hidden="1"/>
    </xf>
    <xf numFmtId="9" fontId="1" fillId="0" borderId="32" xfId="1" applyNumberFormat="1" applyFont="1" applyBorder="1" applyAlignment="1" applyProtection="1">
      <alignment horizontal="center" vertical="center"/>
      <protection hidden="1"/>
    </xf>
    <xf numFmtId="0" fontId="1" fillId="0" borderId="4" xfId="1" applyFont="1" applyBorder="1" applyAlignment="1" applyProtection="1">
      <alignment horizontal="center" vertical="center"/>
      <protection hidden="1"/>
    </xf>
    <xf numFmtId="0" fontId="1" fillId="0" borderId="10" xfId="1" applyFont="1" applyBorder="1" applyAlignment="1" applyProtection="1">
      <alignment horizontal="center" vertical="center"/>
      <protection hidden="1"/>
    </xf>
    <xf numFmtId="0" fontId="1" fillId="0" borderId="27" xfId="1" applyBorder="1" applyAlignment="1" applyProtection="1">
      <alignment horizontal="center" vertical="center"/>
      <protection locked="0" hidden="1"/>
    </xf>
    <xf numFmtId="9" fontId="0" fillId="0" borderId="42" xfId="0" applyNumberFormat="1" applyBorder="1" applyAlignment="1" applyProtection="1">
      <alignment horizontal="center" vertical="center"/>
      <protection locked="0"/>
    </xf>
    <xf numFmtId="9" fontId="1" fillId="0" borderId="19" xfId="1" applyNumberFormat="1" applyFont="1" applyBorder="1" applyAlignment="1" applyProtection="1">
      <alignment horizontal="center" vertical="center"/>
      <protection locked="0"/>
    </xf>
    <xf numFmtId="0" fontId="1" fillId="0" borderId="4" xfId="1" applyFont="1" applyBorder="1" applyAlignment="1" applyProtection="1">
      <alignment horizontal="center" vertical="center"/>
      <protection locked="0"/>
    </xf>
    <xf numFmtId="0" fontId="1" fillId="0" borderId="33" xfId="1" applyFont="1" applyBorder="1" applyAlignment="1" applyProtection="1">
      <alignment horizontal="center" vertical="center"/>
      <protection locked="0"/>
    </xf>
    <xf numFmtId="0" fontId="1" fillId="0" borderId="8" xfId="1" applyFont="1" applyBorder="1" applyAlignment="1" applyProtection="1">
      <alignment horizontal="center" vertical="center"/>
      <protection locked="0"/>
    </xf>
    <xf numFmtId="0" fontId="8" fillId="0" borderId="54" xfId="0" applyFont="1" applyFill="1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9" fontId="1" fillId="0" borderId="29" xfId="1" applyNumberFormat="1" applyFont="1" applyBorder="1" applyAlignment="1" applyProtection="1">
      <alignment horizontal="center" vertical="center"/>
      <protection locked="0"/>
    </xf>
    <xf numFmtId="0" fontId="1" fillId="0" borderId="30" xfId="1" applyFont="1" applyBorder="1" applyAlignment="1" applyProtection="1">
      <alignment horizontal="center" vertical="center"/>
      <protection locked="0"/>
    </xf>
    <xf numFmtId="0" fontId="1" fillId="0" borderId="31" xfId="1" applyFont="1" applyBorder="1" applyAlignment="1" applyProtection="1">
      <alignment horizontal="center" vertical="center"/>
      <protection locked="0"/>
    </xf>
    <xf numFmtId="9" fontId="4" fillId="0" borderId="34" xfId="1" applyNumberFormat="1" applyFont="1" applyBorder="1" applyAlignment="1" applyProtection="1">
      <alignment horizontal="center" vertical="center"/>
      <protection locked="0"/>
    </xf>
    <xf numFmtId="0" fontId="4" fillId="0" borderId="27" xfId="1" applyFont="1" applyBorder="1" applyAlignment="1" applyProtection="1">
      <alignment horizontal="center" vertical="center"/>
      <protection locked="0"/>
    </xf>
    <xf numFmtId="0" fontId="4" fillId="0" borderId="28" xfId="1" applyFont="1" applyBorder="1" applyAlignment="1" applyProtection="1">
      <alignment horizontal="center" vertical="center"/>
      <protection locked="0"/>
    </xf>
    <xf numFmtId="9" fontId="4" fillId="0" borderId="19" xfId="1" applyNumberFormat="1" applyFont="1" applyBorder="1" applyAlignment="1" applyProtection="1">
      <alignment horizontal="center" vertical="center"/>
      <protection locked="0"/>
    </xf>
    <xf numFmtId="0" fontId="4" fillId="0" borderId="4" xfId="1" applyFont="1" applyBorder="1" applyAlignment="1" applyProtection="1">
      <alignment horizontal="center" vertical="center"/>
      <protection locked="0"/>
    </xf>
    <xf numFmtId="0" fontId="4" fillId="0" borderId="33" xfId="1" applyFont="1" applyBorder="1" applyAlignment="1" applyProtection="1">
      <alignment horizontal="center" vertical="center"/>
      <protection locked="0"/>
    </xf>
    <xf numFmtId="0" fontId="1" fillId="0" borderId="46" xfId="1" applyBorder="1" applyAlignment="1" applyProtection="1">
      <alignment horizontal="center" vertical="center"/>
      <protection locked="0"/>
    </xf>
    <xf numFmtId="9" fontId="4" fillId="0" borderId="35" xfId="1" applyNumberFormat="1" applyFont="1" applyBorder="1" applyAlignment="1" applyProtection="1">
      <alignment horizontal="center" vertical="center"/>
      <protection locked="0"/>
    </xf>
    <xf numFmtId="0" fontId="4" fillId="0" borderId="30" xfId="1" applyFont="1" applyBorder="1" applyAlignment="1" applyProtection="1">
      <alignment horizontal="center" vertical="center"/>
      <protection locked="0"/>
    </xf>
    <xf numFmtId="0" fontId="4" fillId="0" borderId="31" xfId="1" applyFont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7" xfId="1" applyFont="1" applyBorder="1" applyAlignment="1" applyProtection="1">
      <alignment horizontal="center" vertical="top"/>
      <protection locked="0"/>
    </xf>
    <xf numFmtId="0" fontId="4" fillId="0" borderId="19" xfId="1" applyFont="1" applyBorder="1" applyAlignment="1" applyProtection="1">
      <alignment horizontal="center" vertical="center"/>
      <protection locked="0"/>
    </xf>
    <xf numFmtId="0" fontId="4" fillId="0" borderId="35" xfId="1" applyFont="1" applyBorder="1" applyAlignment="1" applyProtection="1">
      <alignment horizontal="center" vertical="center"/>
      <protection locked="0"/>
    </xf>
    <xf numFmtId="0" fontId="1" fillId="0" borderId="34" xfId="1" applyBorder="1" applyAlignment="1" applyProtection="1">
      <alignment horizontal="center" vertical="center"/>
      <protection locked="0"/>
    </xf>
    <xf numFmtId="0" fontId="3" fillId="0" borderId="27" xfId="1" applyFont="1" applyBorder="1" applyAlignment="1" applyProtection="1">
      <alignment horizontal="center" vertical="center"/>
      <protection locked="0"/>
    </xf>
    <xf numFmtId="0" fontId="1" fillId="0" borderId="27" xfId="1" applyBorder="1" applyAlignment="1" applyProtection="1">
      <alignment horizontal="center" vertical="center"/>
      <protection locked="0"/>
    </xf>
    <xf numFmtId="0" fontId="1" fillId="0" borderId="28" xfId="1" applyBorder="1" applyAlignment="1" applyProtection="1">
      <alignment horizontal="center" vertical="center"/>
      <protection locked="0"/>
    </xf>
    <xf numFmtId="0" fontId="1" fillId="0" borderId="35" xfId="1" applyBorder="1" applyAlignment="1" applyProtection="1">
      <alignment horizontal="center" vertical="center"/>
      <protection locked="0"/>
    </xf>
    <xf numFmtId="0" fontId="3" fillId="0" borderId="30" xfId="1" applyFont="1" applyBorder="1" applyAlignment="1" applyProtection="1">
      <alignment horizontal="center" vertical="center"/>
      <protection locked="0"/>
    </xf>
    <xf numFmtId="0" fontId="1" fillId="0" borderId="30" xfId="1" applyBorder="1" applyAlignment="1" applyProtection="1">
      <alignment horizontal="center" vertical="center"/>
      <protection locked="0"/>
    </xf>
    <xf numFmtId="0" fontId="1" fillId="0" borderId="31" xfId="1" applyBorder="1" applyAlignment="1" applyProtection="1">
      <alignment horizontal="center" vertical="center"/>
      <protection locked="0"/>
    </xf>
    <xf numFmtId="0" fontId="1" fillId="0" borderId="29" xfId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3" borderId="30" xfId="1" applyFill="1" applyBorder="1" applyAlignment="1" applyProtection="1">
      <alignment horizontal="center" vertical="center"/>
      <protection locked="0"/>
    </xf>
    <xf numFmtId="0" fontId="1" fillId="3" borderId="31" xfId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>
      <alignment horizontal="center"/>
    </xf>
    <xf numFmtId="0" fontId="8" fillId="0" borderId="21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1" xfId="0" applyFont="1" applyFill="1" applyBorder="1" applyAlignment="1" applyProtection="1">
      <alignment horizontal="center" vertical="center"/>
      <protection locked="0"/>
    </xf>
    <xf numFmtId="0" fontId="8" fillId="0" borderId="13" xfId="0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14" fontId="8" fillId="0" borderId="11" xfId="0" applyNumberFormat="1" applyFont="1" applyFill="1" applyBorder="1" applyAlignment="1" applyProtection="1">
      <alignment horizontal="center" vertic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0" fontId="15" fillId="5" borderId="17" xfId="0" applyFont="1" applyFill="1" applyBorder="1" applyAlignment="1" applyProtection="1">
      <alignment horizontal="center" vertical="center"/>
      <protection locked="0"/>
    </xf>
    <xf numFmtId="0" fontId="3" fillId="3" borderId="11" xfId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/>
    </xf>
    <xf numFmtId="0" fontId="3" fillId="3" borderId="15" xfId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14" fontId="8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Fill="1" applyBorder="1" applyAlignment="1" applyProtection="1">
      <alignment horizontal="center" vertical="center" wrapText="1"/>
      <protection locked="0"/>
    </xf>
    <xf numFmtId="0" fontId="8" fillId="0" borderId="15" xfId="0" applyFont="1" applyFill="1" applyBorder="1" applyAlignment="1" applyProtection="1">
      <alignment horizontal="center" vertical="center" wrapText="1"/>
      <protection locked="0"/>
    </xf>
    <xf numFmtId="0" fontId="8" fillId="0" borderId="17" xfId="0" applyFont="1" applyFill="1" applyBorder="1" applyAlignment="1" applyProtection="1">
      <alignment horizontal="center" vertical="center" wrapText="1"/>
      <protection locked="0"/>
    </xf>
    <xf numFmtId="0" fontId="8" fillId="0" borderId="11" xfId="0" applyFont="1" applyFill="1" applyBorder="1" applyAlignment="1" applyProtection="1">
      <alignment horizontal="center" vertical="top"/>
      <protection locked="0"/>
    </xf>
    <xf numFmtId="0" fontId="8" fillId="0" borderId="12" xfId="0" applyFont="1" applyFill="1" applyBorder="1" applyAlignment="1" applyProtection="1">
      <alignment horizontal="center" vertical="top"/>
      <protection locked="0"/>
    </xf>
    <xf numFmtId="0" fontId="8" fillId="0" borderId="13" xfId="0" applyFont="1" applyFill="1" applyBorder="1" applyAlignment="1" applyProtection="1">
      <alignment horizontal="center" vertical="top"/>
      <protection locked="0"/>
    </xf>
    <xf numFmtId="0" fontId="8" fillId="0" borderId="14" xfId="0" applyFont="1" applyFill="1" applyBorder="1" applyAlignment="1" applyProtection="1">
      <alignment horizontal="center" vertical="top"/>
      <protection locked="0"/>
    </xf>
    <xf numFmtId="0" fontId="8" fillId="0" borderId="0" xfId="0" applyFont="1" applyFill="1" applyBorder="1" applyAlignment="1" applyProtection="1">
      <alignment horizontal="center" vertical="top"/>
      <protection locked="0"/>
    </xf>
    <xf numFmtId="0" fontId="8" fillId="0" borderId="1" xfId="0" applyFont="1" applyFill="1" applyBorder="1" applyAlignment="1" applyProtection="1">
      <alignment horizontal="center" vertical="top"/>
      <protection locked="0"/>
    </xf>
    <xf numFmtId="0" fontId="8" fillId="0" borderId="15" xfId="0" applyFont="1" applyFill="1" applyBorder="1" applyAlignment="1" applyProtection="1">
      <alignment horizontal="center" vertical="top"/>
      <protection locked="0"/>
    </xf>
    <xf numFmtId="0" fontId="8" fillId="0" borderId="16" xfId="0" applyFont="1" applyFill="1" applyBorder="1" applyAlignment="1" applyProtection="1">
      <alignment horizontal="center" vertical="top"/>
      <protection locked="0"/>
    </xf>
    <xf numFmtId="0" fontId="8" fillId="0" borderId="17" xfId="0" applyFont="1" applyFill="1" applyBorder="1" applyAlignment="1" applyProtection="1">
      <alignment horizontal="center" vertical="top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 applyProtection="1">
      <alignment horizontal="center" vertical="center"/>
      <protection locked="0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0" borderId="11" xfId="1" applyFont="1" applyBorder="1" applyAlignment="1">
      <alignment horizontal="center" vertical="center" wrapText="1" shrinkToFit="1" readingOrder="1"/>
    </xf>
    <xf numFmtId="0" fontId="3" fillId="0" borderId="12" xfId="1" applyFont="1" applyBorder="1" applyAlignment="1">
      <alignment horizontal="center" vertical="center" wrapText="1" shrinkToFit="1" readingOrder="1"/>
    </xf>
    <xf numFmtId="0" fontId="3" fillId="0" borderId="13" xfId="1" applyFont="1" applyBorder="1" applyAlignment="1">
      <alignment horizontal="center" vertical="center" wrapText="1" shrinkToFit="1" readingOrder="1"/>
    </xf>
    <xf numFmtId="0" fontId="3" fillId="0" borderId="14" xfId="1" applyFont="1" applyBorder="1" applyAlignment="1">
      <alignment horizontal="center" vertical="center" wrapText="1" shrinkToFit="1" readingOrder="1"/>
    </xf>
    <xf numFmtId="0" fontId="3" fillId="0" borderId="0" xfId="1" applyFont="1" applyBorder="1" applyAlignment="1">
      <alignment horizontal="center" vertical="center" wrapText="1" shrinkToFit="1" readingOrder="1"/>
    </xf>
    <xf numFmtId="0" fontId="3" fillId="0" borderId="1" xfId="1" applyFont="1" applyBorder="1" applyAlignment="1">
      <alignment horizontal="center" vertical="center" wrapText="1" shrinkToFit="1" readingOrder="1"/>
    </xf>
    <xf numFmtId="0" fontId="3" fillId="0" borderId="15" xfId="1" applyFont="1" applyBorder="1" applyAlignment="1">
      <alignment horizontal="center" vertical="center" wrapText="1" shrinkToFit="1" readingOrder="1"/>
    </xf>
    <xf numFmtId="0" fontId="3" fillId="0" borderId="16" xfId="1" applyFont="1" applyBorder="1" applyAlignment="1">
      <alignment horizontal="center" vertical="center" wrapText="1" shrinkToFit="1" readingOrder="1"/>
    </xf>
    <xf numFmtId="0" fontId="3" fillId="0" borderId="17" xfId="1" applyFont="1" applyBorder="1" applyAlignment="1">
      <alignment horizontal="center" vertical="center" wrapText="1" shrinkToFit="1" readingOrder="1"/>
    </xf>
    <xf numFmtId="0" fontId="1" fillId="3" borderId="3" xfId="1" applyFill="1" applyBorder="1" applyAlignment="1">
      <alignment horizontal="center"/>
    </xf>
    <xf numFmtId="0" fontId="1" fillId="3" borderId="39" xfId="1" applyFill="1" applyBorder="1" applyAlignment="1">
      <alignment horizontal="center"/>
    </xf>
    <xf numFmtId="0" fontId="1" fillId="3" borderId="40" xfId="1" applyFill="1" applyBorder="1" applyAlignment="1">
      <alignment horizontal="center"/>
    </xf>
    <xf numFmtId="0" fontId="1" fillId="3" borderId="15" xfId="1" applyFill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0" borderId="11" xfId="1" applyBorder="1" applyAlignment="1">
      <alignment horizontal="center" vertical="center" readingOrder="1"/>
    </xf>
    <xf numFmtId="0" fontId="1" fillId="0" borderId="12" xfId="1" applyBorder="1" applyAlignment="1">
      <alignment horizontal="center" vertical="center" readingOrder="1"/>
    </xf>
    <xf numFmtId="0" fontId="1" fillId="0" borderId="13" xfId="1" applyBorder="1" applyAlignment="1">
      <alignment horizontal="center" vertical="center" readingOrder="1"/>
    </xf>
    <xf numFmtId="0" fontId="1" fillId="0" borderId="14" xfId="1" applyBorder="1" applyAlignment="1">
      <alignment horizontal="center" vertical="center" readingOrder="1"/>
    </xf>
    <xf numFmtId="0" fontId="1" fillId="0" borderId="0" xfId="1" applyBorder="1" applyAlignment="1">
      <alignment horizontal="center" vertical="center" readingOrder="1"/>
    </xf>
    <xf numFmtId="0" fontId="1" fillId="0" borderId="1" xfId="1" applyBorder="1" applyAlignment="1">
      <alignment horizontal="center" vertical="center" readingOrder="1"/>
    </xf>
    <xf numFmtId="0" fontId="1" fillId="0" borderId="15" xfId="1" applyBorder="1" applyAlignment="1">
      <alignment horizontal="center" vertical="center" readingOrder="1"/>
    </xf>
    <xf numFmtId="0" fontId="1" fillId="0" borderId="16" xfId="1" applyBorder="1" applyAlignment="1">
      <alignment horizontal="center" vertical="center" readingOrder="1"/>
    </xf>
    <xf numFmtId="0" fontId="1" fillId="0" borderId="17" xfId="1" applyBorder="1" applyAlignment="1">
      <alignment horizontal="center" vertical="center" readingOrder="1"/>
    </xf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3" xfId="1" applyBorder="1" applyAlignment="1">
      <alignment horizontal="center"/>
    </xf>
    <xf numFmtId="0" fontId="1" fillId="0" borderId="14" xfId="1" applyBorder="1" applyAlignment="1">
      <alignment horizontal="center"/>
    </xf>
    <xf numFmtId="0" fontId="1" fillId="0" borderId="0" xfId="1" applyBorder="1" applyAlignment="1">
      <alignment horizontal="center"/>
    </xf>
    <xf numFmtId="0" fontId="1" fillId="0" borderId="1" xfId="1" applyBorder="1" applyAlignment="1">
      <alignment horizontal="center"/>
    </xf>
    <xf numFmtId="0" fontId="1" fillId="0" borderId="15" xfId="1" applyBorder="1" applyAlignment="1">
      <alignment horizontal="center"/>
    </xf>
    <xf numFmtId="0" fontId="1" fillId="0" borderId="16" xfId="1" applyBorder="1" applyAlignment="1">
      <alignment horizontal="center"/>
    </xf>
    <xf numFmtId="0" fontId="1" fillId="0" borderId="17" xfId="1" applyBorder="1" applyAlignment="1">
      <alignment horizontal="center"/>
    </xf>
    <xf numFmtId="0" fontId="8" fillId="0" borderId="1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 textRotation="90"/>
      <protection locked="0"/>
    </xf>
    <xf numFmtId="0" fontId="8" fillId="4" borderId="5" xfId="0" applyFont="1" applyFill="1" applyBorder="1" applyAlignment="1" applyProtection="1">
      <alignment horizontal="center" vertical="center" textRotation="90"/>
      <protection locked="0"/>
    </xf>
    <xf numFmtId="0" fontId="6" fillId="3" borderId="2" xfId="1" applyFont="1" applyFill="1" applyBorder="1" applyAlignment="1">
      <alignment horizontal="center" vertical="center"/>
    </xf>
    <xf numFmtId="0" fontId="6" fillId="3" borderId="6" xfId="1" applyFont="1" applyFill="1" applyBorder="1" applyAlignment="1">
      <alignment horizontal="center" vertical="center"/>
    </xf>
    <xf numFmtId="0" fontId="13" fillId="3" borderId="11" xfId="1" applyFont="1" applyFill="1" applyBorder="1" applyAlignment="1">
      <alignment horizontal="center" vertical="center"/>
    </xf>
    <xf numFmtId="0" fontId="13" fillId="3" borderId="13" xfId="1" applyFont="1" applyFill="1" applyBorder="1" applyAlignment="1">
      <alignment horizontal="center" vertical="center"/>
    </xf>
    <xf numFmtId="0" fontId="13" fillId="3" borderId="15" xfId="1" applyFont="1" applyFill="1" applyBorder="1" applyAlignment="1">
      <alignment horizontal="center" vertical="center"/>
    </xf>
    <xf numFmtId="0" fontId="13" fillId="3" borderId="17" xfId="1" applyFont="1" applyFill="1" applyBorder="1" applyAlignment="1">
      <alignment horizontal="center" vertical="center"/>
    </xf>
    <xf numFmtId="0" fontId="11" fillId="3" borderId="2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2" fillId="2" borderId="11" xfId="1" applyFont="1" applyFill="1" applyBorder="1" applyAlignment="1">
      <alignment horizontal="center" vertical="center"/>
    </xf>
    <xf numFmtId="0" fontId="2" fillId="2" borderId="12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2" fillId="2" borderId="15" xfId="1" applyFont="1" applyFill="1" applyBorder="1" applyAlignment="1">
      <alignment horizontal="center" vertical="center"/>
    </xf>
    <xf numFmtId="0" fontId="2" fillId="2" borderId="16" xfId="1" applyFont="1" applyFill="1" applyBorder="1" applyAlignment="1">
      <alignment horizontal="center" vertical="center"/>
    </xf>
    <xf numFmtId="0" fontId="2" fillId="2" borderId="17" xfId="1" applyFont="1" applyFill="1" applyBorder="1" applyAlignment="1">
      <alignment horizontal="center" vertical="center"/>
    </xf>
    <xf numFmtId="0" fontId="2" fillId="2" borderId="20" xfId="1" applyFont="1" applyFill="1" applyBorder="1" applyAlignment="1">
      <alignment horizontal="center" vertical="center"/>
    </xf>
    <xf numFmtId="0" fontId="2" fillId="2" borderId="21" xfId="1" applyFont="1" applyFill="1" applyBorder="1" applyAlignment="1">
      <alignment horizontal="center" vertical="center"/>
    </xf>
    <xf numFmtId="0" fontId="2" fillId="2" borderId="22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center" vertical="center"/>
      <protection locked="0" hidden="1"/>
    </xf>
    <xf numFmtId="0" fontId="1" fillId="0" borderId="34" xfId="1" applyBorder="1" applyAlignment="1" applyProtection="1">
      <alignment horizontal="center" vertical="center"/>
      <protection locked="0" hidden="1"/>
    </xf>
    <xf numFmtId="0" fontId="3" fillId="0" borderId="7" xfId="1" applyFont="1" applyBorder="1" applyAlignment="1" applyProtection="1">
      <alignment horizontal="center" vertical="center"/>
      <protection locked="0"/>
    </xf>
    <xf numFmtId="0" fontId="1" fillId="0" borderId="18" xfId="1" applyBorder="1" applyAlignment="1" applyProtection="1">
      <alignment horizontal="center" vertical="center"/>
      <protection locked="0"/>
    </xf>
    <xf numFmtId="0" fontId="1" fillId="0" borderId="19" xfId="1" applyBorder="1" applyAlignment="1" applyProtection="1">
      <alignment horizontal="center" vertical="center"/>
      <protection locked="0"/>
    </xf>
    <xf numFmtId="0" fontId="3" fillId="0" borderId="7" xfId="1" applyFont="1" applyBorder="1" applyAlignment="1" applyProtection="1">
      <alignment horizontal="center" vertical="center"/>
      <protection hidden="1"/>
    </xf>
    <xf numFmtId="0" fontId="1" fillId="0" borderId="18" xfId="1" applyBorder="1" applyAlignment="1" applyProtection="1">
      <alignment horizontal="center" vertical="center"/>
      <protection hidden="1"/>
    </xf>
    <xf numFmtId="0" fontId="1" fillId="0" borderId="19" xfId="1" applyBorder="1" applyAlignment="1" applyProtection="1">
      <alignment horizontal="center" vertical="center"/>
      <protection hidden="1"/>
    </xf>
    <xf numFmtId="0" fontId="5" fillId="0" borderId="3" xfId="1" applyFont="1" applyBorder="1" applyAlignment="1" applyProtection="1">
      <alignment horizontal="center" vertical="center"/>
      <protection hidden="1"/>
    </xf>
    <xf numFmtId="0" fontId="1" fillId="0" borderId="34" xfId="1" applyBorder="1" applyAlignment="1" applyProtection="1">
      <alignment horizontal="center" vertical="center"/>
      <protection hidden="1"/>
    </xf>
    <xf numFmtId="0" fontId="1" fillId="0" borderId="20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textRotation="90" wrapText="1"/>
    </xf>
    <xf numFmtId="0" fontId="8" fillId="4" borderId="5" xfId="0" applyFont="1" applyFill="1" applyBorder="1" applyAlignment="1">
      <alignment horizontal="center" vertical="center" textRotation="90" wrapText="1"/>
    </xf>
    <xf numFmtId="0" fontId="8" fillId="4" borderId="50" xfId="0" applyFont="1" applyFill="1" applyBorder="1" applyAlignment="1">
      <alignment horizontal="center" vertical="center" textRotation="90" wrapText="1"/>
    </xf>
    <xf numFmtId="0" fontId="3" fillId="0" borderId="26" xfId="1" applyFont="1" applyBorder="1" applyAlignment="1">
      <alignment horizontal="center" vertical="center"/>
    </xf>
    <xf numFmtId="0" fontId="1" fillId="0" borderId="38" xfId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/>
      <protection locked="0"/>
    </xf>
    <xf numFmtId="0" fontId="8" fillId="0" borderId="21" xfId="0" applyFont="1" applyFill="1" applyBorder="1" applyAlignment="1" applyProtection="1">
      <alignment horizontal="center"/>
      <protection locked="0"/>
    </xf>
    <xf numFmtId="0" fontId="8" fillId="0" borderId="22" xfId="0" applyFont="1" applyFill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5" borderId="20" xfId="1" applyFill="1" applyBorder="1" applyAlignment="1">
      <alignment horizontal="center"/>
    </xf>
    <xf numFmtId="0" fontId="1" fillId="5" borderId="21" xfId="1" applyFill="1" applyBorder="1" applyAlignment="1">
      <alignment horizontal="center"/>
    </xf>
    <xf numFmtId="0" fontId="1" fillId="5" borderId="22" xfId="1" applyFill="1" applyBorder="1" applyAlignment="1">
      <alignment horizontal="center"/>
    </xf>
    <xf numFmtId="0" fontId="1" fillId="5" borderId="15" xfId="1" applyFill="1" applyBorder="1" applyAlignment="1">
      <alignment horizontal="center"/>
    </xf>
    <xf numFmtId="0" fontId="1" fillId="5" borderId="16" xfId="1" applyFill="1" applyBorder="1" applyAlignment="1">
      <alignment horizontal="center"/>
    </xf>
    <xf numFmtId="0" fontId="1" fillId="5" borderId="17" xfId="1" applyFill="1" applyBorder="1" applyAlignment="1">
      <alignment horizontal="center"/>
    </xf>
    <xf numFmtId="0" fontId="1" fillId="3" borderId="20" xfId="1" applyFill="1" applyBorder="1" applyAlignment="1">
      <alignment horizontal="center" vertical="center"/>
    </xf>
    <xf numFmtId="0" fontId="1" fillId="3" borderId="21" xfId="1" applyFill="1" applyBorder="1" applyAlignment="1">
      <alignment horizontal="center" vertical="center"/>
    </xf>
    <xf numFmtId="0" fontId="1" fillId="3" borderId="22" xfId="1" applyFill="1" applyBorder="1" applyAlignment="1">
      <alignment horizontal="center" vertical="center"/>
    </xf>
    <xf numFmtId="0" fontId="1" fillId="0" borderId="14" xfId="1" applyBorder="1" applyAlignment="1" applyProtection="1">
      <alignment horizontal="center"/>
    </xf>
    <xf numFmtId="0" fontId="1" fillId="0" borderId="0" xfId="1" applyBorder="1" applyAlignment="1" applyProtection="1">
      <alignment horizontal="center"/>
    </xf>
    <xf numFmtId="0" fontId="1" fillId="0" borderId="1" xfId="1" applyBorder="1" applyAlignment="1" applyProtection="1">
      <alignment horizontal="center"/>
    </xf>
    <xf numFmtId="0" fontId="1" fillId="0" borderId="12" xfId="1" applyBorder="1" applyAlignment="1" applyProtection="1">
      <alignment horizontal="center" vertical="center"/>
      <protection locked="0"/>
    </xf>
    <xf numFmtId="0" fontId="1" fillId="0" borderId="13" xfId="1" applyBorder="1" applyAlignment="1" applyProtection="1">
      <alignment horizontal="center" vertical="center"/>
      <protection locked="0"/>
    </xf>
    <xf numFmtId="0" fontId="1" fillId="0" borderId="16" xfId="1" applyBorder="1" applyAlignment="1" applyProtection="1">
      <alignment horizontal="center" vertical="center"/>
      <protection locked="0"/>
    </xf>
    <xf numFmtId="0" fontId="1" fillId="0" borderId="17" xfId="1" applyBorder="1" applyAlignment="1" applyProtection="1">
      <alignment horizontal="center" vertical="center"/>
      <protection locked="0"/>
    </xf>
    <xf numFmtId="0" fontId="1" fillId="4" borderId="2" xfId="1" applyFill="1" applyBorder="1" applyAlignment="1" applyProtection="1">
      <alignment horizontal="center" vertical="center" textRotation="90"/>
      <protection locked="0"/>
    </xf>
    <xf numFmtId="0" fontId="1" fillId="4" borderId="5" xfId="1" applyFill="1" applyBorder="1" applyAlignment="1" applyProtection="1">
      <alignment horizontal="center" vertical="center" textRotation="90"/>
      <protection locked="0"/>
    </xf>
    <xf numFmtId="0" fontId="1" fillId="4" borderId="6" xfId="1" applyFill="1" applyBorder="1" applyAlignment="1" applyProtection="1">
      <alignment horizontal="center" vertical="center" textRotation="90"/>
      <protection locked="0"/>
    </xf>
    <xf numFmtId="0" fontId="8" fillId="4" borderId="11" xfId="0" applyFont="1" applyFill="1" applyBorder="1" applyAlignment="1" applyProtection="1">
      <alignment horizontal="center" vertical="center" textRotation="90"/>
      <protection locked="0"/>
    </xf>
    <xf numFmtId="0" fontId="8" fillId="4" borderId="14" xfId="0" applyFont="1" applyFill="1" applyBorder="1" applyAlignment="1" applyProtection="1">
      <alignment horizontal="center" vertical="center" textRotation="90"/>
      <protection locked="0"/>
    </xf>
    <xf numFmtId="0" fontId="8" fillId="4" borderId="15" xfId="0" applyFont="1" applyFill="1" applyBorder="1" applyAlignment="1" applyProtection="1">
      <alignment horizontal="center" vertical="center" textRotation="90"/>
      <protection locked="0"/>
    </xf>
    <xf numFmtId="9" fontId="22" fillId="0" borderId="11" xfId="2" applyFont="1" applyBorder="1" applyAlignment="1">
      <alignment horizontal="center" vertical="center" shrinkToFit="1"/>
    </xf>
    <xf numFmtId="9" fontId="22" fillId="0" borderId="12" xfId="2" applyFont="1" applyBorder="1" applyAlignment="1">
      <alignment horizontal="center" vertical="center" shrinkToFit="1"/>
    </xf>
    <xf numFmtId="9" fontId="22" fillId="0" borderId="13" xfId="2" applyFont="1" applyBorder="1" applyAlignment="1">
      <alignment horizontal="center" vertical="center" shrinkToFit="1"/>
    </xf>
    <xf numFmtId="9" fontId="22" fillId="0" borderId="15" xfId="2" applyFont="1" applyBorder="1" applyAlignment="1">
      <alignment horizontal="center" vertical="center" shrinkToFit="1"/>
    </xf>
    <xf numFmtId="9" fontId="22" fillId="0" borderId="16" xfId="2" applyFont="1" applyBorder="1" applyAlignment="1">
      <alignment horizontal="center" vertical="center" shrinkToFit="1"/>
    </xf>
    <xf numFmtId="9" fontId="22" fillId="0" borderId="17" xfId="2" applyFont="1" applyBorder="1" applyAlignment="1">
      <alignment horizontal="center" vertical="center" shrinkToFit="1"/>
    </xf>
    <xf numFmtId="0" fontId="21" fillId="0" borderId="61" xfId="2" applyNumberFormat="1" applyFont="1" applyBorder="1" applyAlignment="1">
      <alignment horizontal="center" vertical="center" shrinkToFit="1"/>
    </xf>
    <xf numFmtId="0" fontId="21" fillId="0" borderId="21" xfId="2" applyNumberFormat="1" applyFont="1" applyBorder="1" applyAlignment="1">
      <alignment horizontal="center" vertical="center" shrinkToFit="1"/>
    </xf>
    <xf numFmtId="0" fontId="21" fillId="0" borderId="22" xfId="2" applyNumberFormat="1" applyFont="1" applyBorder="1" applyAlignment="1">
      <alignment horizontal="center" vertical="center" shrinkToFit="1"/>
    </xf>
    <xf numFmtId="0" fontId="18" fillId="6" borderId="0" xfId="0" applyFont="1" applyFill="1" applyBorder="1" applyAlignment="1">
      <alignment horizontal="center" vertical="center" shrinkToFit="1"/>
    </xf>
    <xf numFmtId="0" fontId="18" fillId="6" borderId="1" xfId="0" applyFont="1" applyFill="1" applyBorder="1" applyAlignment="1">
      <alignment horizontal="center" vertical="center" shrinkToFit="1"/>
    </xf>
    <xf numFmtId="0" fontId="3" fillId="0" borderId="26" xfId="1" applyFont="1" applyBorder="1" applyAlignment="1" applyProtection="1">
      <alignment horizontal="center" vertical="center"/>
      <protection hidden="1"/>
    </xf>
    <xf numFmtId="0" fontId="1" fillId="0" borderId="38" xfId="1" applyBorder="1" applyAlignment="1" applyProtection="1">
      <alignment horizontal="center" vertical="center"/>
      <protection hidden="1"/>
    </xf>
    <xf numFmtId="0" fontId="1" fillId="0" borderId="35" xfId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3" xfId="0" applyFont="1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51" xfId="0" applyFont="1" applyFill="1" applyBorder="1" applyAlignment="1">
      <alignment horizontal="center" vertical="center" wrapText="1"/>
    </xf>
    <xf numFmtId="0" fontId="0" fillId="0" borderId="52" xfId="0" applyFont="1" applyFill="1" applyBorder="1" applyAlignment="1">
      <alignment horizontal="center" vertical="center" wrapText="1"/>
    </xf>
    <xf numFmtId="0" fontId="0" fillId="0" borderId="53" xfId="0" applyFont="1" applyFill="1" applyBorder="1" applyAlignment="1">
      <alignment horizontal="center" vertical="center" wrapText="1"/>
    </xf>
    <xf numFmtId="0" fontId="0" fillId="0" borderId="11" xfId="0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 applyProtection="1">
      <alignment horizontal="center" vertical="center" wrapText="1"/>
      <protection locked="0"/>
    </xf>
    <xf numFmtId="0" fontId="0" fillId="0" borderId="13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51" xfId="0" applyFill="1" applyBorder="1" applyAlignment="1" applyProtection="1">
      <alignment horizontal="center" vertical="center" wrapText="1"/>
      <protection locked="0"/>
    </xf>
    <xf numFmtId="0" fontId="0" fillId="0" borderId="52" xfId="0" applyFill="1" applyBorder="1" applyAlignment="1" applyProtection="1">
      <alignment horizontal="center" vertical="center" wrapText="1"/>
      <protection locked="0"/>
    </xf>
    <xf numFmtId="0" fontId="0" fillId="0" borderId="53" xfId="0" applyFill="1" applyBorder="1" applyAlignment="1" applyProtection="1">
      <alignment horizontal="center" vertical="center" wrapText="1"/>
      <protection locked="0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7" fillId="0" borderId="13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3" xfId="0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7" xfId="0" applyFill="1" applyBorder="1" applyAlignment="1" applyProtection="1">
      <alignment horizontal="center" vertical="center"/>
      <protection locked="0"/>
    </xf>
    <xf numFmtId="14" fontId="8" fillId="0" borderId="11" xfId="0" applyNumberFormat="1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15" fillId="5" borderId="11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center" vertical="center"/>
    </xf>
    <xf numFmtId="14" fontId="8" fillId="0" borderId="11" xfId="0" applyNumberFormat="1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/>
    </xf>
    <xf numFmtId="0" fontId="8" fillId="5" borderId="21" xfId="0" applyFont="1" applyFill="1" applyBorder="1" applyAlignment="1">
      <alignment horizontal="center"/>
    </xf>
    <xf numFmtId="0" fontId="8" fillId="5" borderId="22" xfId="0" applyFon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8" fillId="0" borderId="12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1" fillId="0" borderId="16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 textRotation="90"/>
    </xf>
    <xf numFmtId="0" fontId="8" fillId="4" borderId="14" xfId="0" applyFont="1" applyFill="1" applyBorder="1" applyAlignment="1">
      <alignment horizontal="center" vertical="center" textRotation="90"/>
    </xf>
    <xf numFmtId="0" fontId="8" fillId="4" borderId="15" xfId="0" applyFont="1" applyFill="1" applyBorder="1" applyAlignment="1">
      <alignment horizontal="center" vertical="center" textRotation="90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41" xfId="1" applyFont="1" applyBorder="1" applyAlignment="1">
      <alignment horizontal="center" vertical="center"/>
    </xf>
    <xf numFmtId="14" fontId="8" fillId="0" borderId="12" xfId="0" applyNumberFormat="1" applyFont="1" applyFill="1" applyBorder="1" applyAlignment="1">
      <alignment horizontal="center" vertical="center"/>
    </xf>
    <xf numFmtId="14" fontId="8" fillId="0" borderId="13" xfId="0" applyNumberFormat="1" applyFont="1" applyFill="1" applyBorder="1" applyAlignment="1">
      <alignment horizontal="center" vertical="center"/>
    </xf>
    <xf numFmtId="14" fontId="8" fillId="0" borderId="15" xfId="0" applyNumberFormat="1" applyFont="1" applyFill="1" applyBorder="1" applyAlignment="1">
      <alignment horizontal="center" vertical="center"/>
    </xf>
    <xf numFmtId="14" fontId="8" fillId="0" borderId="16" xfId="0" applyNumberFormat="1" applyFont="1" applyFill="1" applyBorder="1" applyAlignment="1">
      <alignment horizontal="center" vertical="center"/>
    </xf>
    <xf numFmtId="14" fontId="8" fillId="0" borderId="17" xfId="0" applyNumberFormat="1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1" fillId="4" borderId="3" xfId="1" applyFill="1" applyBorder="1" applyAlignment="1">
      <alignment horizontal="center"/>
    </xf>
    <xf numFmtId="0" fontId="1" fillId="4" borderId="39" xfId="1" applyFill="1" applyBorder="1" applyAlignment="1">
      <alignment horizontal="center"/>
    </xf>
    <xf numFmtId="0" fontId="1" fillId="4" borderId="40" xfId="1" applyFill="1" applyBorder="1" applyAlignment="1">
      <alignment horizontal="center"/>
    </xf>
    <xf numFmtId="0" fontId="1" fillId="4" borderId="15" xfId="1" applyFill="1" applyBorder="1" applyAlignment="1">
      <alignment horizontal="center"/>
    </xf>
    <xf numFmtId="0" fontId="1" fillId="4" borderId="16" xfId="1" applyFill="1" applyBorder="1" applyAlignment="1">
      <alignment horizontal="center"/>
    </xf>
    <xf numFmtId="0" fontId="1" fillId="4" borderId="17" xfId="1" applyFill="1" applyBorder="1" applyAlignment="1">
      <alignment horizontal="center"/>
    </xf>
    <xf numFmtId="0" fontId="8" fillId="0" borderId="11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readingOrder="1"/>
    </xf>
    <xf numFmtId="0" fontId="9" fillId="0" borderId="12" xfId="0" applyFont="1" applyBorder="1" applyAlignment="1">
      <alignment horizontal="center" vertical="center" readingOrder="1"/>
    </xf>
    <xf numFmtId="0" fontId="9" fillId="0" borderId="13" xfId="0" applyFont="1" applyBorder="1" applyAlignment="1">
      <alignment horizontal="center" vertical="center" readingOrder="1"/>
    </xf>
    <xf numFmtId="0" fontId="9" fillId="0" borderId="14" xfId="0" applyFont="1" applyBorder="1" applyAlignment="1">
      <alignment horizontal="center" vertical="center" readingOrder="1"/>
    </xf>
    <xf numFmtId="0" fontId="9" fillId="0" borderId="0" xfId="0" applyFont="1" applyBorder="1" applyAlignment="1">
      <alignment horizontal="center" vertical="center" readingOrder="1"/>
    </xf>
    <xf numFmtId="0" fontId="9" fillId="0" borderId="1" xfId="0" applyFont="1" applyBorder="1" applyAlignment="1">
      <alignment horizontal="center" vertical="center" readingOrder="1"/>
    </xf>
    <xf numFmtId="0" fontId="9" fillId="0" borderId="15" xfId="0" applyFont="1" applyBorder="1" applyAlignment="1">
      <alignment horizontal="center" vertical="center" readingOrder="1"/>
    </xf>
    <xf numFmtId="0" fontId="9" fillId="0" borderId="16" xfId="0" applyFont="1" applyBorder="1" applyAlignment="1">
      <alignment horizontal="center" vertical="center" readingOrder="1"/>
    </xf>
    <xf numFmtId="0" fontId="9" fillId="0" borderId="17" xfId="0" applyFont="1" applyBorder="1" applyAlignment="1">
      <alignment horizontal="center" vertical="center" readingOrder="1"/>
    </xf>
    <xf numFmtId="0" fontId="4" fillId="0" borderId="7" xfId="1" applyFont="1" applyBorder="1" applyAlignment="1">
      <alignment horizontal="center" vertical="center" readingOrder="1"/>
    </xf>
    <xf numFmtId="0" fontId="4" fillId="0" borderId="18" xfId="1" applyFont="1" applyBorder="1" applyAlignment="1">
      <alignment horizontal="center" vertical="center" readingOrder="1"/>
    </xf>
    <xf numFmtId="0" fontId="4" fillId="0" borderId="41" xfId="1" applyFont="1" applyBorder="1" applyAlignment="1">
      <alignment horizontal="center" vertical="center" readingOrder="1"/>
    </xf>
    <xf numFmtId="0" fontId="1" fillId="4" borderId="2" xfId="1" applyFill="1" applyBorder="1" applyAlignment="1">
      <alignment horizontal="center" vertical="center" textRotation="90" readingOrder="1"/>
    </xf>
    <xf numFmtId="0" fontId="1" fillId="4" borderId="5" xfId="1" applyFill="1" applyBorder="1" applyAlignment="1">
      <alignment horizontal="center" vertical="center" textRotation="90" readingOrder="1"/>
    </xf>
    <xf numFmtId="0" fontId="1" fillId="4" borderId="6" xfId="1" applyFill="1" applyBorder="1" applyAlignment="1">
      <alignment horizontal="center" vertical="center" textRotation="90" readingOrder="1"/>
    </xf>
    <xf numFmtId="0" fontId="8" fillId="4" borderId="11" xfId="0" applyFont="1" applyFill="1" applyBorder="1" applyAlignment="1">
      <alignment horizontal="center" vertical="center" textRotation="90" readingOrder="1"/>
    </xf>
    <xf numFmtId="0" fontId="8" fillId="4" borderId="14" xfId="0" applyFont="1" applyFill="1" applyBorder="1" applyAlignment="1">
      <alignment horizontal="center" vertical="center" textRotation="90" readingOrder="1"/>
    </xf>
    <xf numFmtId="0" fontId="8" fillId="4" borderId="15" xfId="0" applyFont="1" applyFill="1" applyBorder="1" applyAlignment="1">
      <alignment horizontal="center" vertical="center" textRotation="90" readingOrder="1"/>
    </xf>
    <xf numFmtId="0" fontId="0" fillId="0" borderId="11" xfId="0" applyFill="1" applyBorder="1" applyAlignment="1">
      <alignment horizontal="center" vertical="center" readingOrder="1"/>
    </xf>
    <xf numFmtId="0" fontId="0" fillId="0" borderId="12" xfId="0" applyFill="1" applyBorder="1" applyAlignment="1">
      <alignment horizontal="center" vertical="center" readingOrder="1"/>
    </xf>
    <xf numFmtId="0" fontId="0" fillId="0" borderId="13" xfId="0" applyFill="1" applyBorder="1" applyAlignment="1">
      <alignment horizontal="center" vertical="center" readingOrder="1"/>
    </xf>
    <xf numFmtId="0" fontId="0" fillId="0" borderId="14" xfId="0" applyFill="1" applyBorder="1" applyAlignment="1">
      <alignment horizontal="center" vertical="center" readingOrder="1"/>
    </xf>
    <xf numFmtId="0" fontId="0" fillId="0" borderId="0" xfId="0" applyFill="1" applyBorder="1" applyAlignment="1">
      <alignment horizontal="center" vertical="center" readingOrder="1"/>
    </xf>
    <xf numFmtId="0" fontId="0" fillId="0" borderId="1" xfId="0" applyFill="1" applyBorder="1" applyAlignment="1">
      <alignment horizontal="center" vertical="center" readingOrder="1"/>
    </xf>
    <xf numFmtId="0" fontId="0" fillId="0" borderId="15" xfId="0" applyFill="1" applyBorder="1" applyAlignment="1">
      <alignment horizontal="center" vertical="center" readingOrder="1"/>
    </xf>
    <xf numFmtId="0" fontId="0" fillId="0" borderId="16" xfId="0" applyFill="1" applyBorder="1" applyAlignment="1">
      <alignment horizontal="center" vertical="center" readingOrder="1"/>
    </xf>
    <xf numFmtId="0" fontId="0" fillId="0" borderId="17" xfId="0" applyFill="1" applyBorder="1" applyAlignment="1">
      <alignment horizontal="center" vertical="center" readingOrder="1"/>
    </xf>
    <xf numFmtId="0" fontId="0" fillId="0" borderId="11" xfId="0" applyFont="1" applyFill="1" applyBorder="1" applyAlignment="1">
      <alignment horizontal="center" vertical="center" readingOrder="1"/>
    </xf>
    <xf numFmtId="0" fontId="0" fillId="0" borderId="12" xfId="0" applyFont="1" applyFill="1" applyBorder="1" applyAlignment="1">
      <alignment horizontal="center" vertical="center" readingOrder="1"/>
    </xf>
    <xf numFmtId="0" fontId="0" fillId="0" borderId="13" xfId="0" applyFont="1" applyFill="1" applyBorder="1" applyAlignment="1">
      <alignment horizontal="center" vertical="center" readingOrder="1"/>
    </xf>
    <xf numFmtId="0" fontId="0" fillId="0" borderId="14" xfId="0" applyFont="1" applyFill="1" applyBorder="1" applyAlignment="1">
      <alignment horizontal="center" vertical="center" readingOrder="1"/>
    </xf>
    <xf numFmtId="0" fontId="0" fillId="0" borderId="0" xfId="0" applyFont="1" applyFill="1" applyBorder="1" applyAlignment="1">
      <alignment horizontal="center" vertical="center" readingOrder="1"/>
    </xf>
    <xf numFmtId="0" fontId="0" fillId="0" borderId="1" xfId="0" applyFont="1" applyFill="1" applyBorder="1" applyAlignment="1">
      <alignment horizontal="center" vertical="center" readingOrder="1"/>
    </xf>
    <xf numFmtId="0" fontId="0" fillId="0" borderId="15" xfId="0" applyFont="1" applyFill="1" applyBorder="1" applyAlignment="1">
      <alignment horizontal="center" vertical="center" readingOrder="1"/>
    </xf>
    <xf numFmtId="0" fontId="0" fillId="0" borderId="16" xfId="0" applyFont="1" applyFill="1" applyBorder="1" applyAlignment="1">
      <alignment horizontal="center" vertical="center" readingOrder="1"/>
    </xf>
    <xf numFmtId="0" fontId="0" fillId="0" borderId="17" xfId="0" applyFont="1" applyFill="1" applyBorder="1" applyAlignment="1">
      <alignment horizontal="center" vertical="center" readingOrder="1"/>
    </xf>
    <xf numFmtId="0" fontId="3" fillId="0" borderId="7" xfId="1" applyFont="1" applyBorder="1" applyAlignment="1">
      <alignment horizontal="center" vertical="center" readingOrder="1"/>
    </xf>
    <xf numFmtId="0" fontId="1" fillId="0" borderId="18" xfId="1" applyBorder="1" applyAlignment="1">
      <alignment horizontal="center" vertical="center" readingOrder="1"/>
    </xf>
    <xf numFmtId="0" fontId="1" fillId="0" borderId="19" xfId="1" applyBorder="1" applyAlignment="1">
      <alignment horizontal="center" vertical="center" readingOrder="1"/>
    </xf>
    <xf numFmtId="0" fontId="3" fillId="0" borderId="26" xfId="1" applyFont="1" applyBorder="1" applyAlignment="1">
      <alignment horizontal="center" vertical="center" readingOrder="1"/>
    </xf>
    <xf numFmtId="0" fontId="1" fillId="0" borderId="38" xfId="1" applyBorder="1" applyAlignment="1">
      <alignment horizontal="center" vertical="center" readingOrder="1"/>
    </xf>
    <xf numFmtId="0" fontId="1" fillId="0" borderId="35" xfId="1" applyBorder="1" applyAlignment="1">
      <alignment horizontal="center" vertical="center" readingOrder="1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1" fillId="4" borderId="3" xfId="1" applyFill="1" applyBorder="1" applyAlignment="1">
      <alignment horizontal="center" vertical="center" readingOrder="1"/>
    </xf>
    <xf numFmtId="0" fontId="1" fillId="4" borderId="39" xfId="1" applyFill="1" applyBorder="1" applyAlignment="1">
      <alignment horizontal="center" vertical="center" readingOrder="1"/>
    </xf>
    <xf numFmtId="0" fontId="1" fillId="4" borderId="40" xfId="1" applyFill="1" applyBorder="1" applyAlignment="1">
      <alignment horizontal="center" vertical="center" readingOrder="1"/>
    </xf>
    <xf numFmtId="0" fontId="1" fillId="4" borderId="15" xfId="1" applyFill="1" applyBorder="1" applyAlignment="1">
      <alignment horizontal="center" vertical="center" readingOrder="1"/>
    </xf>
    <xf numFmtId="0" fontId="1" fillId="4" borderId="16" xfId="1" applyFill="1" applyBorder="1" applyAlignment="1">
      <alignment horizontal="center" vertical="center" readingOrder="1"/>
    </xf>
    <xf numFmtId="0" fontId="1" fillId="4" borderId="17" xfId="1" applyFill="1" applyBorder="1" applyAlignment="1">
      <alignment horizontal="center" vertical="center" readingOrder="1"/>
    </xf>
  </cellXfs>
  <cellStyles count="4">
    <cellStyle name="Normal" xfId="0" builtinId="0"/>
    <cellStyle name="Normal 2" xfId="1" xr:uid="{00000000-0005-0000-0000-000001000000}"/>
    <cellStyle name="Normal 4" xfId="3" xr:uid="{6A2EB55D-6C65-4FCD-8CE5-43635C5FE213}"/>
    <cellStyle name="Percent" xfId="2" builtinId="5"/>
  </cellStyles>
  <dxfs count="0"/>
  <tableStyles count="0" defaultTableStyle="TableStyleMedium9" defaultPivotStyle="PivotStyleLight16"/>
  <colors>
    <mruColors>
      <color rgb="FF339966"/>
      <color rgb="FFFFD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 Testing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Out Test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4</xdr:col>
          <xdr:colOff>257175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4</xdr:col>
          <xdr:colOff>257175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4</xdr:col>
          <xdr:colOff>257175</xdr:colOff>
          <xdr:row>5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4</xdr:col>
          <xdr:colOff>257175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4</xdr:col>
          <xdr:colOff>257175</xdr:colOff>
          <xdr:row>5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4</xdr:col>
          <xdr:colOff>257175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/Desktop/Lifts/workouts/Fresh%20FB%2015-16%20Fall%20updatem&amp;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/Downloads/Fall%20offseason%203%20TF%20sj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s"/>
      <sheetName val="Annual Plan"/>
      <sheetName val="Max Testing (2)"/>
      <sheetName val="Roster"/>
      <sheetName val="Tier Temp"/>
      <sheetName val="Development"/>
      <sheetName val="Tier Development"/>
      <sheetName val="Temp 1"/>
      <sheetName val="West Well (3d)"/>
      <sheetName val="Wellness D block (3d)"/>
    </sheetNames>
    <sheetDataSet>
      <sheetData sheetId="0">
        <row r="3">
          <cell r="A3" t="str">
            <v xml:space="preserve">Back Squat </v>
          </cell>
          <cell r="C3" t="str">
            <v>Bent Over Row</v>
          </cell>
          <cell r="E3" t="str">
            <v>Band Pull Apart</v>
          </cell>
        </row>
        <row r="4">
          <cell r="A4" t="str">
            <v>Band Rack Pull</v>
          </cell>
          <cell r="C4" t="str">
            <v>Band Pull Down</v>
          </cell>
          <cell r="E4" t="str">
            <v>Band Face Pull</v>
          </cell>
        </row>
        <row r="5">
          <cell r="A5" t="str">
            <v>Bench Press</v>
          </cell>
          <cell r="C5" t="str">
            <v>Band Row</v>
          </cell>
          <cell r="E5" t="str">
            <v>Band Good Morning</v>
          </cell>
        </row>
        <row r="6">
          <cell r="A6" t="str">
            <v>Clean</v>
          </cell>
          <cell r="C6" t="str">
            <v>BB Glute Bridge</v>
          </cell>
          <cell r="E6" t="str">
            <v>Band Pull Down</v>
          </cell>
        </row>
        <row r="7">
          <cell r="A7" t="str">
            <v>DB Bench</v>
          </cell>
          <cell r="C7" t="str">
            <v>Clean Pull</v>
          </cell>
          <cell r="E7" t="str">
            <v>Band Row</v>
          </cell>
        </row>
        <row r="8">
          <cell r="A8" t="str">
            <v>DB Push Jerk</v>
          </cell>
          <cell r="C8" t="str">
            <v>DB Glute Bridge</v>
          </cell>
          <cell r="E8" t="str">
            <v>Band Y,I,T</v>
          </cell>
        </row>
        <row r="9">
          <cell r="A9" t="str">
            <v>DB Snatch</v>
          </cell>
          <cell r="C9" t="str">
            <v>DB Military Press</v>
          </cell>
          <cell r="E9" t="str">
            <v>BB Shrug</v>
          </cell>
        </row>
        <row r="10">
          <cell r="A10" t="str">
            <v>Dead Lift</v>
          </cell>
          <cell r="C10" t="str">
            <v>DB Swing</v>
          </cell>
          <cell r="E10" t="str">
            <v>Bicep Curl</v>
          </cell>
        </row>
        <row r="11">
          <cell r="A11" t="str">
            <v>Eccentric Bench</v>
          </cell>
          <cell r="C11" t="str">
            <v>Front Squat</v>
          </cell>
          <cell r="E11" t="str">
            <v>Blast Strap I</v>
          </cell>
        </row>
        <row r="12">
          <cell r="A12" t="str">
            <v>Eccentric Squat</v>
          </cell>
          <cell r="C12" t="str">
            <v>Good Morning</v>
          </cell>
          <cell r="E12" t="str">
            <v>Blast Strap Row</v>
          </cell>
        </row>
        <row r="13">
          <cell r="A13" t="str">
            <v>Front Squat</v>
          </cell>
          <cell r="C13" t="str">
            <v>Incline DB Press</v>
          </cell>
          <cell r="E13" t="str">
            <v>Blast Strap T</v>
          </cell>
        </row>
        <row r="14">
          <cell r="A14" t="str">
            <v>Hang Clean</v>
          </cell>
          <cell r="C14" t="str">
            <v>Inverted Row</v>
          </cell>
          <cell r="E14" t="str">
            <v>Blast Strap Y</v>
          </cell>
        </row>
        <row r="15">
          <cell r="A15" t="str">
            <v>Hang Power Snatch</v>
          </cell>
          <cell r="C15" t="str">
            <v>Inverted Row</v>
          </cell>
          <cell r="E15" t="str">
            <v>Cuban Press</v>
          </cell>
        </row>
        <row r="16">
          <cell r="A16" t="str">
            <v>Jerk</v>
          </cell>
          <cell r="C16" t="str">
            <v>Lateral Lunge</v>
          </cell>
          <cell r="E16" t="str">
            <v>DB Glute Bridge</v>
          </cell>
        </row>
        <row r="17">
          <cell r="A17" t="str">
            <v>Pause Bench</v>
          </cell>
          <cell r="C17" t="str">
            <v>Muscle Snatch</v>
          </cell>
          <cell r="E17" t="str">
            <v>DB Pullover</v>
          </cell>
        </row>
        <row r="18">
          <cell r="A18" t="str">
            <v>Pause Squat</v>
          </cell>
          <cell r="C18" t="str">
            <v>Overhead Squat</v>
          </cell>
          <cell r="E18" t="str">
            <v>DB Shoulder Press</v>
          </cell>
        </row>
        <row r="19">
          <cell r="A19" t="str">
            <v>Power Clean</v>
          </cell>
          <cell r="C19" t="str">
            <v>Pull Up</v>
          </cell>
          <cell r="E19" t="str">
            <v>DB Shrug</v>
          </cell>
        </row>
        <row r="20">
          <cell r="A20" t="str">
            <v>Push Jerk</v>
          </cell>
          <cell r="C20" t="str">
            <v>RDL</v>
          </cell>
          <cell r="E20" t="str">
            <v>DB Skullcrusher</v>
          </cell>
        </row>
        <row r="21">
          <cell r="A21" t="str">
            <v>Push Press</v>
          </cell>
          <cell r="C21" t="str">
            <v>RDL+Shrug</v>
          </cell>
          <cell r="E21" t="str">
            <v xml:space="preserve">Good Morning </v>
          </cell>
        </row>
        <row r="22">
          <cell r="A22" t="str">
            <v>Rack Pull</v>
          </cell>
          <cell r="C22" t="str">
            <v>RFE Split Squat</v>
          </cell>
          <cell r="E22" t="str">
            <v>Incline DB Bench</v>
          </cell>
        </row>
        <row r="23">
          <cell r="A23" t="str">
            <v>Snatch</v>
          </cell>
          <cell r="C23" t="str">
            <v>Snatch Pull</v>
          </cell>
          <cell r="E23" t="str">
            <v>Inverted Row</v>
          </cell>
        </row>
        <row r="24">
          <cell r="A24" t="str">
            <v>Speed Bench</v>
          </cell>
          <cell r="C24" t="str">
            <v>Split Squat</v>
          </cell>
          <cell r="E24" t="str">
            <v>Monster Walk</v>
          </cell>
        </row>
        <row r="25">
          <cell r="A25" t="str">
            <v>Speed Pull</v>
          </cell>
          <cell r="C25" t="str">
            <v>Strict Press</v>
          </cell>
          <cell r="E25" t="str">
            <v>Pull Up</v>
          </cell>
        </row>
        <row r="26">
          <cell r="A26" t="str">
            <v>Speed Squat</v>
          </cell>
          <cell r="E26" t="str">
            <v>Reverse Curl</v>
          </cell>
        </row>
        <row r="27">
          <cell r="E27" t="str">
            <v>Reverse Fly</v>
          </cell>
        </row>
        <row r="28">
          <cell r="E28" t="str">
            <v>Shoulder Raise</v>
          </cell>
        </row>
        <row r="29">
          <cell r="E29" t="str">
            <v xml:space="preserve">SL Squat </v>
          </cell>
        </row>
        <row r="30">
          <cell r="E30" t="str">
            <v>TKE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hletes"/>
      <sheetName val="4 DAY"/>
      <sheetName val="3 DAY"/>
      <sheetName val="2 DAY"/>
    </sheetNames>
    <sheetDataSet>
      <sheetData sheetId="0">
        <row r="3">
          <cell r="A3" t="str">
            <v>Matt</v>
          </cell>
          <cell r="B3">
            <v>425</v>
          </cell>
          <cell r="C3">
            <v>265</v>
          </cell>
          <cell r="D3">
            <v>510</v>
          </cell>
          <cell r="E3">
            <v>250</v>
          </cell>
          <cell r="F3">
            <v>175</v>
          </cell>
          <cell r="G3">
            <v>315</v>
          </cell>
          <cell r="H3">
            <v>510</v>
          </cell>
          <cell r="I3">
            <v>205</v>
          </cell>
        </row>
        <row r="4">
          <cell r="A4" t="str">
            <v>De'mon</v>
          </cell>
          <cell r="B4">
            <v>335</v>
          </cell>
          <cell r="D4">
            <v>402</v>
          </cell>
        </row>
        <row r="5">
          <cell r="A5" t="str">
            <v>Lavendar</v>
          </cell>
          <cell r="B5">
            <v>175</v>
          </cell>
          <cell r="C5">
            <v>80</v>
          </cell>
          <cell r="D5">
            <v>210</v>
          </cell>
        </row>
        <row r="6">
          <cell r="A6" t="str">
            <v>Cedric</v>
          </cell>
          <cell r="B6">
            <v>335</v>
          </cell>
          <cell r="C6">
            <v>195</v>
          </cell>
          <cell r="D6">
            <v>402</v>
          </cell>
        </row>
        <row r="7">
          <cell r="A7" t="str">
            <v>James</v>
          </cell>
          <cell r="B7">
            <v>255</v>
          </cell>
          <cell r="C7">
            <v>175</v>
          </cell>
          <cell r="D7">
            <v>305</v>
          </cell>
        </row>
        <row r="8">
          <cell r="A8" t="str">
            <v>Shameka</v>
          </cell>
          <cell r="B8">
            <v>130</v>
          </cell>
          <cell r="C8">
            <v>75</v>
          </cell>
          <cell r="D8">
            <v>155</v>
          </cell>
        </row>
        <row r="9">
          <cell r="A9" t="str">
            <v>Tavian</v>
          </cell>
          <cell r="B9">
            <v>295</v>
          </cell>
          <cell r="C9">
            <v>195</v>
          </cell>
          <cell r="D9">
            <v>350</v>
          </cell>
        </row>
        <row r="10">
          <cell r="A10" t="str">
            <v>Haley</v>
          </cell>
          <cell r="B10">
            <v>80</v>
          </cell>
          <cell r="C10">
            <v>70</v>
          </cell>
          <cell r="D10">
            <v>95</v>
          </cell>
        </row>
        <row r="11">
          <cell r="A11" t="str">
            <v>Adrienne</v>
          </cell>
          <cell r="B11">
            <v>140</v>
          </cell>
          <cell r="C11">
            <v>75</v>
          </cell>
          <cell r="D11">
            <v>165</v>
          </cell>
        </row>
        <row r="12">
          <cell r="A12" t="str">
            <v>Katelyn</v>
          </cell>
          <cell r="B12">
            <v>110</v>
          </cell>
          <cell r="C12">
            <v>65</v>
          </cell>
          <cell r="D12">
            <v>130</v>
          </cell>
        </row>
        <row r="13">
          <cell r="A13" t="str">
            <v>Darquez</v>
          </cell>
          <cell r="C13">
            <v>250</v>
          </cell>
          <cell r="D13">
            <v>235</v>
          </cell>
        </row>
        <row r="14">
          <cell r="A14" t="str">
            <v>Xavier</v>
          </cell>
          <cell r="B14">
            <v>270</v>
          </cell>
          <cell r="C14">
            <v>155</v>
          </cell>
          <cell r="D14">
            <v>320</v>
          </cell>
        </row>
        <row r="15">
          <cell r="A15" t="str">
            <v>Issac</v>
          </cell>
          <cell r="C15">
            <v>215</v>
          </cell>
        </row>
        <row r="16">
          <cell r="A16" t="str">
            <v>Nate</v>
          </cell>
          <cell r="B16">
            <v>240</v>
          </cell>
          <cell r="C16">
            <v>205</v>
          </cell>
          <cell r="D16">
            <v>285</v>
          </cell>
        </row>
        <row r="17">
          <cell r="A17" t="str">
            <v>Harmoney</v>
          </cell>
          <cell r="B17">
            <v>155</v>
          </cell>
          <cell r="C17">
            <v>75</v>
          </cell>
          <cell r="D17">
            <v>185</v>
          </cell>
        </row>
        <row r="18">
          <cell r="A18" t="str">
            <v>Austin</v>
          </cell>
          <cell r="B18">
            <v>180</v>
          </cell>
          <cell r="C18">
            <v>135</v>
          </cell>
          <cell r="D18">
            <v>215</v>
          </cell>
        </row>
        <row r="19">
          <cell r="A19" t="str">
            <v>Joushua</v>
          </cell>
          <cell r="B19">
            <v>195</v>
          </cell>
          <cell r="C19">
            <v>175</v>
          </cell>
          <cell r="D19">
            <v>230</v>
          </cell>
        </row>
        <row r="20">
          <cell r="A20" t="str">
            <v>James</v>
          </cell>
          <cell r="B20">
            <v>255</v>
          </cell>
          <cell r="C20">
            <v>175</v>
          </cell>
          <cell r="D20">
            <v>305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EAFF-F7E2-4156-99B7-63A4BF7C9F5C}">
  <sheetPr codeName="Sheet2"/>
  <dimension ref="A1:H35"/>
  <sheetViews>
    <sheetView workbookViewId="0">
      <selection activeCell="O24" sqref="O24"/>
    </sheetView>
  </sheetViews>
  <sheetFormatPr defaultRowHeight="15"/>
  <cols>
    <col min="1" max="1" width="20.42578125" customWidth="1"/>
    <col min="2" max="2" width="10.42578125" bestFit="1" customWidth="1"/>
    <col min="3" max="3" width="11.5703125" bestFit="1" customWidth="1"/>
    <col min="7" max="7" width="11.140625" bestFit="1" customWidth="1"/>
  </cols>
  <sheetData>
    <row r="1" spans="1:8" ht="15.75" thickBot="1">
      <c r="A1" s="67" t="s">
        <v>175</v>
      </c>
      <c r="B1" s="68" t="s">
        <v>29</v>
      </c>
      <c r="C1" s="68" t="s">
        <v>28</v>
      </c>
      <c r="D1" s="68" t="s">
        <v>176</v>
      </c>
      <c r="E1" s="68" t="s">
        <v>177</v>
      </c>
      <c r="F1" s="68" t="s">
        <v>178</v>
      </c>
      <c r="G1" s="68" t="s">
        <v>179</v>
      </c>
      <c r="H1" s="69" t="s">
        <v>180</v>
      </c>
    </row>
    <row r="2" spans="1:8">
      <c r="A2" s="70" t="s">
        <v>181</v>
      </c>
      <c r="B2" s="71">
        <v>500</v>
      </c>
      <c r="C2" s="71">
        <v>350</v>
      </c>
      <c r="D2" s="71">
        <v>505</v>
      </c>
      <c r="E2" s="71">
        <v>325</v>
      </c>
      <c r="F2" s="71"/>
      <c r="G2" s="71">
        <v>350</v>
      </c>
      <c r="H2" s="72">
        <v>600</v>
      </c>
    </row>
    <row r="3" spans="1:8">
      <c r="A3" s="73" t="s">
        <v>195</v>
      </c>
      <c r="B3" s="74">
        <v>355</v>
      </c>
      <c r="C3" s="74">
        <v>220</v>
      </c>
      <c r="D3" s="74">
        <v>0</v>
      </c>
      <c r="E3" s="74">
        <v>0</v>
      </c>
      <c r="F3" s="74">
        <v>0</v>
      </c>
      <c r="G3" s="74">
        <v>0</v>
      </c>
      <c r="H3" s="75">
        <v>300</v>
      </c>
    </row>
    <row r="4" spans="1:8">
      <c r="A4" s="73" t="s">
        <v>196</v>
      </c>
      <c r="B4" s="74">
        <v>540</v>
      </c>
      <c r="C4" s="74">
        <v>455</v>
      </c>
      <c r="D4" s="74"/>
      <c r="E4" s="74"/>
      <c r="F4" s="74"/>
      <c r="G4" s="74"/>
      <c r="H4" s="75">
        <v>470</v>
      </c>
    </row>
    <row r="5" spans="1:8">
      <c r="A5" s="73" t="s">
        <v>197</v>
      </c>
      <c r="B5" s="74">
        <v>220</v>
      </c>
      <c r="C5" s="74">
        <v>265</v>
      </c>
      <c r="D5" s="74"/>
      <c r="E5" s="74"/>
      <c r="F5" s="74"/>
      <c r="G5" s="74"/>
      <c r="H5" s="75">
        <v>280</v>
      </c>
    </row>
    <row r="6" spans="1:8">
      <c r="A6" s="73" t="s">
        <v>198</v>
      </c>
      <c r="B6" s="74">
        <v>650</v>
      </c>
      <c r="C6" s="74">
        <v>255</v>
      </c>
      <c r="D6" s="74"/>
      <c r="E6" s="74"/>
      <c r="F6" s="74"/>
      <c r="G6" s="74"/>
      <c r="H6" s="75">
        <v>550</v>
      </c>
    </row>
    <row r="7" spans="1:8">
      <c r="A7" s="73" t="s">
        <v>199</v>
      </c>
      <c r="B7" s="74">
        <v>225</v>
      </c>
      <c r="C7" s="74">
        <v>135</v>
      </c>
      <c r="D7" s="74"/>
      <c r="E7" s="74"/>
      <c r="F7" s="74"/>
      <c r="G7" s="74"/>
      <c r="H7" s="75">
        <v>315</v>
      </c>
    </row>
    <row r="8" spans="1:8">
      <c r="A8" s="73" t="s">
        <v>200</v>
      </c>
      <c r="B8" s="74">
        <v>145</v>
      </c>
      <c r="C8" s="74">
        <v>115</v>
      </c>
      <c r="D8" s="74"/>
      <c r="E8" s="74"/>
      <c r="F8" s="74"/>
      <c r="G8" s="74"/>
      <c r="H8" s="75">
        <v>225</v>
      </c>
    </row>
    <row r="9" spans="1:8">
      <c r="A9" s="73"/>
      <c r="B9" s="74"/>
      <c r="C9" s="74"/>
      <c r="D9" s="74"/>
      <c r="E9" s="74"/>
      <c r="F9" s="74"/>
      <c r="G9" s="74"/>
      <c r="H9" s="75"/>
    </row>
    <row r="10" spans="1:8">
      <c r="A10" s="73"/>
      <c r="B10" s="74"/>
      <c r="C10" s="74"/>
      <c r="D10" s="74"/>
      <c r="E10" s="74"/>
      <c r="F10" s="74"/>
      <c r="G10" s="74"/>
      <c r="H10" s="75"/>
    </row>
    <row r="11" spans="1:8">
      <c r="A11" s="73"/>
      <c r="B11" s="74"/>
      <c r="C11" s="74"/>
      <c r="D11" s="74"/>
      <c r="E11" s="74"/>
      <c r="F11" s="74"/>
      <c r="G11" s="74"/>
      <c r="H11" s="75"/>
    </row>
    <row r="12" spans="1:8">
      <c r="A12" s="73"/>
      <c r="B12" s="74"/>
      <c r="C12" s="74"/>
      <c r="D12" s="74"/>
      <c r="E12" s="74"/>
      <c r="F12" s="74"/>
      <c r="G12" s="74"/>
      <c r="H12" s="75"/>
    </row>
    <row r="13" spans="1:8">
      <c r="A13" s="73"/>
      <c r="B13" s="74"/>
      <c r="C13" s="74"/>
      <c r="D13" s="74"/>
      <c r="E13" s="74"/>
      <c r="F13" s="74"/>
      <c r="G13" s="74"/>
      <c r="H13" s="75"/>
    </row>
    <row r="14" spans="1:8">
      <c r="A14" s="73"/>
      <c r="B14" s="74"/>
      <c r="C14" s="74"/>
      <c r="D14" s="74"/>
      <c r="E14" s="74"/>
      <c r="F14" s="74"/>
      <c r="G14" s="74"/>
      <c r="H14" s="75"/>
    </row>
    <row r="15" spans="1:8">
      <c r="A15" s="73"/>
      <c r="B15" s="74"/>
      <c r="C15" s="74"/>
      <c r="D15" s="74"/>
      <c r="E15" s="74"/>
      <c r="F15" s="74"/>
      <c r="G15" s="74"/>
      <c r="H15" s="75"/>
    </row>
    <row r="16" spans="1:8">
      <c r="A16" s="73"/>
      <c r="B16" s="74"/>
      <c r="C16" s="74"/>
      <c r="D16" s="74"/>
      <c r="E16" s="74"/>
      <c r="F16" s="74"/>
      <c r="G16" s="74"/>
      <c r="H16" s="75"/>
    </row>
    <row r="17" spans="1:8">
      <c r="A17" s="73"/>
      <c r="B17" s="74"/>
      <c r="C17" s="74"/>
      <c r="D17" s="74"/>
      <c r="E17" s="74"/>
      <c r="F17" s="74"/>
      <c r="G17" s="74"/>
      <c r="H17" s="75"/>
    </row>
    <row r="18" spans="1:8">
      <c r="A18" s="73"/>
      <c r="B18" s="74"/>
      <c r="C18" s="74"/>
      <c r="D18" s="74"/>
      <c r="E18" s="74"/>
      <c r="F18" s="74"/>
      <c r="G18" s="74"/>
      <c r="H18" s="75"/>
    </row>
    <row r="19" spans="1:8">
      <c r="A19" s="73"/>
      <c r="B19" s="74"/>
      <c r="C19" s="74"/>
      <c r="D19" s="74"/>
      <c r="E19" s="74"/>
      <c r="F19" s="74"/>
      <c r="G19" s="74"/>
      <c r="H19" s="75"/>
    </row>
    <row r="20" spans="1:8">
      <c r="A20" s="73"/>
      <c r="B20" s="74"/>
      <c r="C20" s="74"/>
      <c r="D20" s="74"/>
      <c r="E20" s="74"/>
      <c r="F20" s="74"/>
      <c r="G20" s="74"/>
      <c r="H20" s="75"/>
    </row>
    <row r="21" spans="1:8">
      <c r="A21" s="73"/>
      <c r="B21" s="74"/>
      <c r="C21" s="74"/>
      <c r="D21" s="74"/>
      <c r="E21" s="74"/>
      <c r="F21" s="74"/>
      <c r="G21" s="74"/>
      <c r="H21" s="75"/>
    </row>
    <row r="22" spans="1:8">
      <c r="A22" s="73"/>
      <c r="B22" s="74"/>
      <c r="C22" s="74"/>
      <c r="D22" s="74"/>
      <c r="E22" s="74"/>
      <c r="F22" s="74"/>
      <c r="G22" s="74"/>
      <c r="H22" s="75"/>
    </row>
    <row r="23" spans="1:8">
      <c r="A23" s="73"/>
      <c r="B23" s="74"/>
      <c r="C23" s="74"/>
      <c r="D23" s="74"/>
      <c r="E23" s="74"/>
      <c r="F23" s="74"/>
      <c r="G23" s="74"/>
      <c r="H23" s="75"/>
    </row>
    <row r="24" spans="1:8">
      <c r="A24" s="73"/>
      <c r="B24" s="74"/>
      <c r="C24" s="74"/>
      <c r="D24" s="74"/>
      <c r="E24" s="74"/>
      <c r="F24" s="74"/>
      <c r="G24" s="74"/>
      <c r="H24" s="75"/>
    </row>
    <row r="25" spans="1:8">
      <c r="A25" s="73"/>
      <c r="B25" s="74"/>
      <c r="C25" s="74"/>
      <c r="D25" s="74"/>
      <c r="E25" s="74"/>
      <c r="F25" s="74"/>
      <c r="G25" s="74"/>
      <c r="H25" s="75"/>
    </row>
    <row r="26" spans="1:8">
      <c r="A26" s="73"/>
      <c r="B26" s="74"/>
      <c r="C26" s="74"/>
      <c r="D26" s="74"/>
      <c r="E26" s="74"/>
      <c r="F26" s="74"/>
      <c r="G26" s="74"/>
      <c r="H26" s="75"/>
    </row>
    <row r="27" spans="1:8">
      <c r="A27" s="73"/>
      <c r="B27" s="74"/>
      <c r="C27" s="74"/>
      <c r="D27" s="74"/>
      <c r="E27" s="74"/>
      <c r="F27" s="74"/>
      <c r="G27" s="74"/>
      <c r="H27" s="75"/>
    </row>
    <row r="28" spans="1:8">
      <c r="A28" s="73"/>
      <c r="B28" s="74"/>
      <c r="C28" s="74"/>
      <c r="D28" s="74"/>
      <c r="E28" s="74"/>
      <c r="F28" s="74"/>
      <c r="G28" s="74"/>
      <c r="H28" s="75"/>
    </row>
    <row r="29" spans="1:8">
      <c r="A29" s="73"/>
      <c r="B29" s="74"/>
      <c r="C29" s="74"/>
      <c r="D29" s="74"/>
      <c r="E29" s="74"/>
      <c r="F29" s="74"/>
      <c r="G29" s="74"/>
      <c r="H29" s="75"/>
    </row>
    <row r="30" spans="1:8">
      <c r="A30" s="73"/>
      <c r="B30" s="74"/>
      <c r="C30" s="74"/>
      <c r="D30" s="74"/>
      <c r="E30" s="74"/>
      <c r="F30" s="74"/>
      <c r="G30" s="74"/>
      <c r="H30" s="75"/>
    </row>
    <row r="31" spans="1:8">
      <c r="A31" s="73"/>
      <c r="B31" s="74"/>
      <c r="C31" s="74"/>
      <c r="D31" s="74"/>
      <c r="E31" s="74"/>
      <c r="F31" s="74"/>
      <c r="G31" s="74"/>
      <c r="H31" s="75"/>
    </row>
    <row r="32" spans="1:8">
      <c r="A32" s="73"/>
      <c r="B32" s="74"/>
      <c r="C32" s="74"/>
      <c r="D32" s="74"/>
      <c r="E32" s="74"/>
      <c r="F32" s="74"/>
      <c r="G32" s="74"/>
      <c r="H32" s="75"/>
    </row>
    <row r="33" spans="1:8">
      <c r="A33" s="73"/>
      <c r="B33" s="74"/>
      <c r="C33" s="74"/>
      <c r="D33" s="74"/>
      <c r="E33" s="74"/>
      <c r="F33" s="74"/>
      <c r="G33" s="74"/>
      <c r="H33" s="75"/>
    </row>
    <row r="34" spans="1:8">
      <c r="A34" s="73"/>
      <c r="B34" s="74"/>
      <c r="C34" s="74"/>
      <c r="D34" s="74"/>
      <c r="E34" s="74"/>
      <c r="F34" s="74"/>
      <c r="G34" s="74"/>
      <c r="H34" s="75"/>
    </row>
    <row r="35" spans="1:8" ht="15.75" thickBot="1">
      <c r="A35" s="76"/>
      <c r="B35" s="77"/>
      <c r="C35" s="77"/>
      <c r="D35" s="77"/>
      <c r="E35" s="77"/>
      <c r="F35" s="77"/>
      <c r="G35" s="77"/>
      <c r="H35" s="78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PrintTesting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PrintoutTest_Click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B278"/>
  <sheetViews>
    <sheetView zoomScale="85" zoomScaleNormal="85" workbookViewId="0">
      <selection activeCell="I8" sqref="I8:R9"/>
    </sheetView>
  </sheetViews>
  <sheetFormatPr defaultRowHeight="15"/>
  <cols>
    <col min="1" max="1" width="5.5703125" customWidth="1"/>
    <col min="2" max="3" width="5.28515625" customWidth="1"/>
    <col min="4" max="4" width="5.85546875" customWidth="1"/>
    <col min="5" max="5" width="4" customWidth="1"/>
    <col min="6" max="6" width="5.7109375" bestFit="1" customWidth="1"/>
    <col min="7" max="7" width="5.85546875" customWidth="1"/>
    <col min="8" max="8" width="6" customWidth="1"/>
    <col min="9" max="9" width="4.7109375" customWidth="1"/>
    <col min="10" max="10" width="5.28515625" bestFit="1" customWidth="1"/>
    <col min="11" max="11" width="4.7109375" bestFit="1" customWidth="1"/>
    <col min="12" max="12" width="6" customWidth="1"/>
    <col min="13" max="13" width="5.85546875" customWidth="1"/>
    <col min="14" max="14" width="5.28515625" bestFit="1" customWidth="1"/>
    <col min="15" max="15" width="4.7109375" bestFit="1" customWidth="1"/>
    <col min="16" max="16" width="5.85546875" customWidth="1"/>
    <col min="17" max="17" width="5.7109375" customWidth="1"/>
    <col min="18" max="18" width="5.28515625" customWidth="1"/>
    <col min="19" max="19" width="4.7109375" bestFit="1" customWidth="1"/>
    <col min="20" max="20" width="6.140625" customWidth="1"/>
    <col min="21" max="21" width="6" customWidth="1"/>
    <col min="22" max="22" width="5.28515625" bestFit="1" customWidth="1"/>
    <col min="23" max="23" width="11.7109375" customWidth="1"/>
    <col min="24" max="24" width="5.7109375" customWidth="1"/>
    <col min="25" max="25" width="7" customWidth="1"/>
    <col min="26" max="26" width="6.7109375" bestFit="1" customWidth="1"/>
  </cols>
  <sheetData>
    <row r="2" spans="2:26" ht="14.45" customHeight="1" thickBot="1">
      <c r="B2" s="96"/>
      <c r="C2" s="96"/>
      <c r="D2" s="96"/>
      <c r="F2" s="21"/>
      <c r="G2" s="80"/>
      <c r="H2" s="80"/>
      <c r="I2" s="80"/>
      <c r="J2" s="80"/>
      <c r="K2" s="80"/>
      <c r="L2" s="80"/>
      <c r="M2" s="80"/>
      <c r="N2" s="144"/>
      <c r="O2" s="80"/>
      <c r="P2" s="80"/>
      <c r="Q2" s="21"/>
      <c r="R2" s="21"/>
      <c r="T2" s="79"/>
      <c r="U2" s="79"/>
      <c r="V2" s="79"/>
    </row>
    <row r="3" spans="2:26" ht="14.45" customHeight="1" thickBot="1">
      <c r="B3" s="96"/>
      <c r="C3" s="96"/>
      <c r="D3" s="96"/>
      <c r="F3" s="21"/>
      <c r="G3" s="80"/>
      <c r="H3" s="80"/>
      <c r="I3" s="80"/>
      <c r="J3" s="80"/>
      <c r="K3" s="326" t="s">
        <v>183</v>
      </c>
      <c r="L3" s="326"/>
      <c r="M3" s="327"/>
      <c r="N3" s="85" t="s">
        <v>184</v>
      </c>
      <c r="O3" s="86" t="s">
        <v>185</v>
      </c>
      <c r="P3" s="86" t="s">
        <v>186</v>
      </c>
      <c r="Q3" s="86" t="s">
        <v>187</v>
      </c>
      <c r="R3" s="86" t="s">
        <v>188</v>
      </c>
      <c r="S3" s="86" t="s">
        <v>189</v>
      </c>
      <c r="T3" s="86" t="s">
        <v>190</v>
      </c>
      <c r="U3" s="323" t="s">
        <v>2</v>
      </c>
      <c r="V3" s="324"/>
      <c r="W3" s="324"/>
      <c r="X3" s="324"/>
      <c r="Y3" s="325"/>
    </row>
    <row r="4" spans="2:26" ht="14.45" customHeight="1">
      <c r="B4" s="96"/>
      <c r="C4" s="96"/>
      <c r="D4" s="96"/>
      <c r="F4" s="21"/>
      <c r="G4" s="80"/>
      <c r="H4" s="80"/>
      <c r="I4" s="80"/>
      <c r="J4" s="80"/>
      <c r="K4" s="326" t="s">
        <v>191</v>
      </c>
      <c r="L4" s="326"/>
      <c r="M4" s="327"/>
      <c r="N4" s="87">
        <f>VLOOKUP($I$8,MEMBERMAXES,2,FALSE)</f>
        <v>500</v>
      </c>
      <c r="O4" s="87">
        <f>VLOOKUP($I$8,MEMBERMAXES,3,FALSE)</f>
        <v>350</v>
      </c>
      <c r="P4" s="87">
        <f>VLOOKUP($I$8,MEMBERMAXES,4,FALSE)</f>
        <v>505</v>
      </c>
      <c r="Q4" s="87">
        <f>VLOOKUP($I$8,MEMBERMAXES,5,FALSE)</f>
        <v>325</v>
      </c>
      <c r="R4" s="87">
        <f>VLOOKUP($I$8,MEMBERMAXES,6,FALSE)</f>
        <v>0</v>
      </c>
      <c r="S4" s="87">
        <f>VLOOKUP($I$8,MEMBERMAXES,7,FALSE)</f>
        <v>350</v>
      </c>
      <c r="T4" s="87">
        <f>VLOOKUP($I$8,MEMBERMAXES,8,FALSE)</f>
        <v>600</v>
      </c>
      <c r="U4" s="317">
        <v>1</v>
      </c>
      <c r="V4" s="318"/>
      <c r="W4" s="318"/>
      <c r="X4" s="318"/>
      <c r="Y4" s="319"/>
    </row>
    <row r="5" spans="2:26" ht="14.45" customHeight="1" thickBot="1">
      <c r="B5" s="96"/>
      <c r="C5" s="96"/>
      <c r="D5" s="96"/>
      <c r="F5" s="21"/>
      <c r="G5" s="80"/>
      <c r="H5" s="80"/>
      <c r="I5" s="80"/>
      <c r="J5" s="80"/>
      <c r="K5" s="326" t="s">
        <v>192</v>
      </c>
      <c r="L5" s="326"/>
      <c r="M5" s="327"/>
      <c r="N5" s="88">
        <f t="shared" ref="N5:T5" si="0">N4*$U$4</f>
        <v>500</v>
      </c>
      <c r="O5" s="88">
        <f t="shared" si="0"/>
        <v>350</v>
      </c>
      <c r="P5" s="88">
        <f t="shared" si="0"/>
        <v>505</v>
      </c>
      <c r="Q5" s="88">
        <f t="shared" si="0"/>
        <v>325</v>
      </c>
      <c r="R5" s="88">
        <f t="shared" si="0"/>
        <v>0</v>
      </c>
      <c r="S5" s="88">
        <f t="shared" si="0"/>
        <v>350</v>
      </c>
      <c r="T5" s="88">
        <f t="shared" si="0"/>
        <v>600</v>
      </c>
      <c r="U5" s="320"/>
      <c r="V5" s="321"/>
      <c r="W5" s="321"/>
      <c r="X5" s="321"/>
      <c r="Y5" s="322"/>
    </row>
    <row r="6" spans="2:26" ht="14.45" customHeight="1">
      <c r="B6" s="96"/>
      <c r="C6" s="96"/>
      <c r="D6" s="96"/>
      <c r="F6" s="21"/>
      <c r="G6" s="80"/>
      <c r="H6" s="80"/>
      <c r="I6" s="80"/>
      <c r="J6" s="80"/>
      <c r="K6" s="80"/>
      <c r="L6" s="80"/>
      <c r="M6" s="80"/>
      <c r="N6" s="80"/>
      <c r="O6" s="80"/>
      <c r="P6" s="80"/>
      <c r="Q6" s="21"/>
      <c r="R6" s="21"/>
      <c r="T6" s="79"/>
      <c r="U6" s="79"/>
      <c r="V6" s="79"/>
    </row>
    <row r="7" spans="2:26" ht="14.45" customHeight="1" thickBot="1">
      <c r="B7" s="7"/>
      <c r="C7" s="7"/>
      <c r="D7" s="7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T7" s="6"/>
      <c r="U7" s="6"/>
      <c r="V7" s="6"/>
    </row>
    <row r="8" spans="2:26" ht="14.45" customHeight="1">
      <c r="B8" s="168" t="s">
        <v>194</v>
      </c>
      <c r="C8" s="169"/>
      <c r="D8" s="169"/>
      <c r="E8" s="169"/>
      <c r="F8" s="169"/>
      <c r="G8" s="169"/>
      <c r="H8" s="170"/>
      <c r="I8" s="252" t="s">
        <v>181</v>
      </c>
      <c r="J8" s="253"/>
      <c r="K8" s="253"/>
      <c r="L8" s="253"/>
      <c r="M8" s="253"/>
      <c r="N8" s="253"/>
      <c r="O8" s="253"/>
      <c r="P8" s="253"/>
      <c r="Q8" s="253"/>
      <c r="R8" s="254"/>
      <c r="S8" s="245" t="s">
        <v>167</v>
      </c>
      <c r="T8" s="241" t="s">
        <v>165</v>
      </c>
      <c r="U8" s="242"/>
      <c r="V8" s="239">
        <v>9</v>
      </c>
      <c r="W8" s="331" t="s">
        <v>166</v>
      </c>
      <c r="X8" s="332"/>
      <c r="Y8" s="332"/>
      <c r="Z8" s="333"/>
    </row>
    <row r="9" spans="2:26" ht="14.45" customHeight="1" thickBot="1">
      <c r="B9" s="171"/>
      <c r="C9" s="172"/>
      <c r="D9" s="172"/>
      <c r="E9" s="172"/>
      <c r="F9" s="172"/>
      <c r="G9" s="172"/>
      <c r="H9" s="173"/>
      <c r="I9" s="255"/>
      <c r="J9" s="256"/>
      <c r="K9" s="256"/>
      <c r="L9" s="256"/>
      <c r="M9" s="256"/>
      <c r="N9" s="256"/>
      <c r="O9" s="256"/>
      <c r="P9" s="256"/>
      <c r="Q9" s="256"/>
      <c r="R9" s="257"/>
      <c r="S9" s="246"/>
      <c r="T9" s="243"/>
      <c r="U9" s="244"/>
      <c r="V9" s="240"/>
      <c r="W9" s="334"/>
      <c r="X9" s="335"/>
      <c r="Y9" s="335"/>
      <c r="Z9" s="336"/>
    </row>
    <row r="10" spans="2:26" ht="14.45" customHeight="1" thickBot="1">
      <c r="B10" s="258" t="s">
        <v>8</v>
      </c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59"/>
      <c r="V10" s="260"/>
      <c r="W10" s="292"/>
      <c r="X10" s="293"/>
      <c r="Y10" s="293"/>
      <c r="Z10" s="294"/>
    </row>
    <row r="11" spans="2:26" ht="14.45" customHeight="1" thickBot="1">
      <c r="B11" s="193"/>
      <c r="C11" s="194"/>
      <c r="D11" s="194"/>
      <c r="E11" s="194"/>
      <c r="F11" s="195"/>
      <c r="G11" s="271" t="s">
        <v>4</v>
      </c>
      <c r="H11" s="272"/>
      <c r="I11" s="272"/>
      <c r="J11" s="273"/>
      <c r="K11" s="271" t="s">
        <v>5</v>
      </c>
      <c r="L11" s="272"/>
      <c r="M11" s="272"/>
      <c r="N11" s="273"/>
      <c r="O11" s="271" t="s">
        <v>6</v>
      </c>
      <c r="P11" s="272"/>
      <c r="Q11" s="272"/>
      <c r="R11" s="273"/>
      <c r="S11" s="271" t="s">
        <v>7</v>
      </c>
      <c r="T11" s="272"/>
      <c r="U11" s="272"/>
      <c r="V11" s="273"/>
      <c r="W11" s="301" t="s">
        <v>19</v>
      </c>
      <c r="X11" s="302"/>
      <c r="Y11" s="302"/>
      <c r="Z11" s="303"/>
    </row>
    <row r="12" spans="2:26" ht="14.45" customHeight="1" thickBot="1">
      <c r="B12" s="190"/>
      <c r="C12" s="191"/>
      <c r="D12" s="191"/>
      <c r="E12" s="191"/>
      <c r="F12" s="192"/>
      <c r="G12" s="5" t="s">
        <v>2</v>
      </c>
      <c r="H12" s="2" t="s">
        <v>3</v>
      </c>
      <c r="I12" s="3" t="s">
        <v>1</v>
      </c>
      <c r="J12" s="4" t="s">
        <v>0</v>
      </c>
      <c r="K12" s="1" t="s">
        <v>2</v>
      </c>
      <c r="L12" s="2" t="s">
        <v>3</v>
      </c>
      <c r="M12" s="3" t="s">
        <v>1</v>
      </c>
      <c r="N12" s="4" t="s">
        <v>0</v>
      </c>
      <c r="O12" s="1" t="s">
        <v>2</v>
      </c>
      <c r="P12" s="2" t="s">
        <v>3</v>
      </c>
      <c r="Q12" s="3" t="s">
        <v>1</v>
      </c>
      <c r="R12" s="4" t="s">
        <v>0</v>
      </c>
      <c r="S12" s="1" t="s">
        <v>2</v>
      </c>
      <c r="T12" s="2" t="s">
        <v>3</v>
      </c>
      <c r="U12" s="3" t="s">
        <v>1</v>
      </c>
      <c r="V12" s="4" t="s">
        <v>0</v>
      </c>
      <c r="W12" s="220" t="s">
        <v>97</v>
      </c>
      <c r="X12" s="221"/>
      <c r="Y12" s="221"/>
      <c r="Z12" s="222"/>
    </row>
    <row r="13" spans="2:26" ht="14.45" customHeight="1">
      <c r="B13" s="196" t="s">
        <v>201</v>
      </c>
      <c r="C13" s="197"/>
      <c r="D13" s="197"/>
      <c r="E13" s="197"/>
      <c r="F13" s="198"/>
      <c r="G13" s="220"/>
      <c r="H13" s="221"/>
      <c r="I13" s="221"/>
      <c r="J13" s="222"/>
      <c r="K13" s="220"/>
      <c r="L13" s="221"/>
      <c r="M13" s="221"/>
      <c r="N13" s="222"/>
      <c r="O13" s="220"/>
      <c r="P13" s="221"/>
      <c r="Q13" s="221"/>
      <c r="R13" s="222"/>
      <c r="S13" s="220"/>
      <c r="T13" s="221"/>
      <c r="U13" s="221"/>
      <c r="V13" s="222"/>
      <c r="W13" s="223" t="s">
        <v>98</v>
      </c>
      <c r="X13" s="224"/>
      <c r="Y13" s="224"/>
      <c r="Z13" s="225"/>
    </row>
    <row r="14" spans="2:26" ht="14.45" customHeight="1">
      <c r="B14" s="199"/>
      <c r="C14" s="200"/>
      <c r="D14" s="200"/>
      <c r="E14" s="200"/>
      <c r="F14" s="201"/>
      <c r="G14" s="223"/>
      <c r="H14" s="224"/>
      <c r="I14" s="224"/>
      <c r="J14" s="225"/>
      <c r="K14" s="223"/>
      <c r="L14" s="224"/>
      <c r="M14" s="224"/>
      <c r="N14" s="225"/>
      <c r="O14" s="223"/>
      <c r="P14" s="224"/>
      <c r="Q14" s="224"/>
      <c r="R14" s="225"/>
      <c r="S14" s="223"/>
      <c r="T14" s="224"/>
      <c r="U14" s="224"/>
      <c r="V14" s="225"/>
      <c r="W14" s="304" t="s">
        <v>99</v>
      </c>
      <c r="X14" s="305"/>
      <c r="Y14" s="305"/>
      <c r="Z14" s="306"/>
    </row>
    <row r="15" spans="2:26" ht="14.45" customHeight="1" thickBot="1">
      <c r="B15" s="202"/>
      <c r="C15" s="203"/>
      <c r="D15" s="203"/>
      <c r="E15" s="203"/>
      <c r="F15" s="204"/>
      <c r="G15" s="226"/>
      <c r="H15" s="227"/>
      <c r="I15" s="227"/>
      <c r="J15" s="228"/>
      <c r="K15" s="226"/>
      <c r="L15" s="227"/>
      <c r="M15" s="227"/>
      <c r="N15" s="228"/>
      <c r="O15" s="226"/>
      <c r="P15" s="227"/>
      <c r="Q15" s="227"/>
      <c r="R15" s="228"/>
      <c r="S15" s="226"/>
      <c r="T15" s="227"/>
      <c r="U15" s="227"/>
      <c r="V15" s="228"/>
      <c r="W15" s="223" t="s">
        <v>100</v>
      </c>
      <c r="X15" s="224"/>
      <c r="Y15" s="224"/>
      <c r="Z15" s="225"/>
    </row>
    <row r="16" spans="2:26" ht="14.45" customHeight="1">
      <c r="B16" s="205" t="s">
        <v>55</v>
      </c>
      <c r="C16" s="206"/>
      <c r="D16" s="206"/>
      <c r="E16" s="206"/>
      <c r="F16" s="207"/>
      <c r="G16" s="54"/>
      <c r="H16" s="61">
        <v>12</v>
      </c>
      <c r="I16" s="55" t="s">
        <v>13</v>
      </c>
      <c r="J16" s="56"/>
      <c r="K16" s="54"/>
      <c r="L16" s="61">
        <v>12</v>
      </c>
      <c r="M16" s="55" t="s">
        <v>13</v>
      </c>
      <c r="N16" s="56"/>
      <c r="O16" s="54"/>
      <c r="P16" s="61">
        <v>12</v>
      </c>
      <c r="Q16" s="55" t="s">
        <v>13</v>
      </c>
      <c r="R16" s="56"/>
      <c r="S16" s="54"/>
      <c r="T16" s="61">
        <v>12</v>
      </c>
      <c r="U16" s="55" t="s">
        <v>13</v>
      </c>
      <c r="V16" s="56"/>
      <c r="W16" s="223" t="s">
        <v>101</v>
      </c>
      <c r="X16" s="224"/>
      <c r="Y16" s="224"/>
      <c r="Z16" s="225"/>
    </row>
    <row r="17" spans="1:28" ht="14.45" customHeight="1" thickBot="1">
      <c r="B17" s="208" t="s">
        <v>14</v>
      </c>
      <c r="C17" s="209"/>
      <c r="D17" s="209"/>
      <c r="E17" s="209"/>
      <c r="F17" s="210"/>
      <c r="G17" s="57"/>
      <c r="H17" s="58">
        <v>12</v>
      </c>
      <c r="I17" s="145">
        <v>25</v>
      </c>
      <c r="J17" s="146"/>
      <c r="K17" s="57"/>
      <c r="L17" s="58">
        <v>12</v>
      </c>
      <c r="M17" s="59">
        <v>25</v>
      </c>
      <c r="N17" s="60"/>
      <c r="O17" s="57"/>
      <c r="P17" s="58">
        <v>12</v>
      </c>
      <c r="Q17" s="59">
        <v>25</v>
      </c>
      <c r="R17" s="60"/>
      <c r="S17" s="57"/>
      <c r="T17" s="58">
        <v>12</v>
      </c>
      <c r="U17" s="59">
        <v>25</v>
      </c>
      <c r="V17" s="60"/>
      <c r="W17" s="223" t="s">
        <v>102</v>
      </c>
      <c r="X17" s="224"/>
      <c r="Y17" s="224"/>
      <c r="Z17" s="225"/>
    </row>
    <row r="18" spans="1:28" ht="14.45" customHeight="1">
      <c r="B18" s="211" t="s">
        <v>182</v>
      </c>
      <c r="C18" s="212"/>
      <c r="D18" s="212"/>
      <c r="E18" s="212"/>
      <c r="F18" s="213"/>
      <c r="G18" s="261" t="s">
        <v>21</v>
      </c>
      <c r="H18" s="262"/>
      <c r="I18" s="109">
        <f>MROUND(F31*J18,5)</f>
        <v>240</v>
      </c>
      <c r="J18" s="98">
        <v>0.4</v>
      </c>
      <c r="K18" s="247" t="s">
        <v>21</v>
      </c>
      <c r="L18" s="248"/>
      <c r="M18" s="36">
        <f>MROUND(F31*N18,5)</f>
        <v>240</v>
      </c>
      <c r="N18" s="37">
        <v>0.4</v>
      </c>
      <c r="O18" s="247" t="s">
        <v>21</v>
      </c>
      <c r="P18" s="248"/>
      <c r="Q18" s="36">
        <f>MROUND(F31*R18,5)</f>
        <v>240</v>
      </c>
      <c r="R18" s="37">
        <v>0.4</v>
      </c>
      <c r="S18" s="247" t="s">
        <v>21</v>
      </c>
      <c r="T18" s="248"/>
      <c r="U18" s="36">
        <f>MROUND(F31*V18,5)</f>
        <v>240</v>
      </c>
      <c r="V18" s="37">
        <v>0.4</v>
      </c>
      <c r="W18" s="223" t="s">
        <v>103</v>
      </c>
      <c r="X18" s="224"/>
      <c r="Y18" s="224"/>
      <c r="Z18" s="225"/>
    </row>
    <row r="19" spans="1:28" ht="14.45" customHeight="1" thickBot="1">
      <c r="B19" s="214"/>
      <c r="C19" s="215"/>
      <c r="D19" s="215"/>
      <c r="E19" s="215"/>
      <c r="F19" s="216"/>
      <c r="G19" s="263" t="s">
        <v>49</v>
      </c>
      <c r="H19" s="264"/>
      <c r="I19" s="265"/>
      <c r="J19" s="99" t="s">
        <v>20</v>
      </c>
      <c r="K19" s="249" t="s">
        <v>49</v>
      </c>
      <c r="L19" s="250"/>
      <c r="M19" s="251"/>
      <c r="N19" s="10" t="s">
        <v>20</v>
      </c>
      <c r="O19" s="249" t="s">
        <v>49</v>
      </c>
      <c r="P19" s="250"/>
      <c r="Q19" s="251"/>
      <c r="R19" s="10" t="s">
        <v>20</v>
      </c>
      <c r="S19" s="249" t="s">
        <v>49</v>
      </c>
      <c r="T19" s="250"/>
      <c r="U19" s="251"/>
      <c r="V19" s="10" t="s">
        <v>20</v>
      </c>
      <c r="W19" s="223" t="s">
        <v>103</v>
      </c>
      <c r="X19" s="224"/>
      <c r="Y19" s="224"/>
      <c r="Z19" s="225"/>
    </row>
    <row r="20" spans="1:28" ht="14.45" customHeight="1" thickBot="1">
      <c r="B20" s="214"/>
      <c r="C20" s="215"/>
      <c r="D20" s="215"/>
      <c r="E20" s="215"/>
      <c r="F20" s="216"/>
      <c r="G20" s="266" t="s">
        <v>17</v>
      </c>
      <c r="H20" s="267"/>
      <c r="I20" s="268"/>
      <c r="J20" s="99" t="s">
        <v>50</v>
      </c>
      <c r="K20" s="249" t="s">
        <v>17</v>
      </c>
      <c r="L20" s="250"/>
      <c r="M20" s="251"/>
      <c r="N20" s="10" t="s">
        <v>50</v>
      </c>
      <c r="O20" s="249" t="s">
        <v>17</v>
      </c>
      <c r="P20" s="250"/>
      <c r="Q20" s="251"/>
      <c r="R20" s="10" t="s">
        <v>50</v>
      </c>
      <c r="S20" s="249" t="s">
        <v>17</v>
      </c>
      <c r="T20" s="250"/>
      <c r="U20" s="251"/>
      <c r="V20" s="10" t="s">
        <v>50</v>
      </c>
      <c r="W20" s="295" t="s">
        <v>104</v>
      </c>
      <c r="X20" s="296"/>
      <c r="Y20" s="296"/>
      <c r="Z20" s="297"/>
    </row>
    <row r="21" spans="1:28" ht="14.45" customHeight="1" thickBot="1">
      <c r="B21" s="214"/>
      <c r="C21" s="215"/>
      <c r="D21" s="215"/>
      <c r="E21" s="215"/>
      <c r="F21" s="216"/>
      <c r="G21" s="261" t="s">
        <v>22</v>
      </c>
      <c r="H21" s="262"/>
      <c r="I21" s="97">
        <f>MROUND(F31*J21,5)</f>
        <v>300</v>
      </c>
      <c r="J21" s="98">
        <v>0.5</v>
      </c>
      <c r="K21" s="247" t="s">
        <v>22</v>
      </c>
      <c r="L21" s="248"/>
      <c r="M21" s="36">
        <f>MROUND(F31*N21,5)</f>
        <v>300</v>
      </c>
      <c r="N21" s="37">
        <v>0.5</v>
      </c>
      <c r="O21" s="247" t="s">
        <v>22</v>
      </c>
      <c r="P21" s="248"/>
      <c r="Q21" s="36">
        <f>MROUND(F31*R21,5)</f>
        <v>300</v>
      </c>
      <c r="R21" s="37">
        <v>0.5</v>
      </c>
      <c r="S21" s="247" t="s">
        <v>22</v>
      </c>
      <c r="T21" s="248"/>
      <c r="U21" s="36">
        <f>MROUND(F31*V21,5)</f>
        <v>300</v>
      </c>
      <c r="V21" s="37">
        <v>0.5</v>
      </c>
      <c r="W21" s="298" t="s">
        <v>126</v>
      </c>
      <c r="X21" s="299"/>
      <c r="Y21" s="299"/>
      <c r="Z21" s="300"/>
      <c r="AB21" s="9"/>
    </row>
    <row r="22" spans="1:28" ht="14.45" customHeight="1" thickBot="1">
      <c r="A22" t="s">
        <v>193</v>
      </c>
      <c r="B22" s="214"/>
      <c r="C22" s="215"/>
      <c r="D22" s="215"/>
      <c r="E22" s="215"/>
      <c r="F22" s="216"/>
      <c r="G22" s="266" t="s">
        <v>51</v>
      </c>
      <c r="H22" s="267"/>
      <c r="I22" s="268"/>
      <c r="J22" s="99" t="s">
        <v>20</v>
      </c>
      <c r="K22" s="249" t="s">
        <v>51</v>
      </c>
      <c r="L22" s="250"/>
      <c r="M22" s="251"/>
      <c r="N22" s="10" t="s">
        <v>20</v>
      </c>
      <c r="O22" s="249" t="s">
        <v>51</v>
      </c>
      <c r="P22" s="250"/>
      <c r="Q22" s="251"/>
      <c r="R22" s="10" t="s">
        <v>20</v>
      </c>
      <c r="S22" s="249" t="s">
        <v>51</v>
      </c>
      <c r="T22" s="250"/>
      <c r="U22" s="251"/>
      <c r="V22" s="10" t="s">
        <v>20</v>
      </c>
      <c r="W22" s="153" t="s">
        <v>110</v>
      </c>
      <c r="X22" s="154"/>
      <c r="Y22" s="63" t="s">
        <v>0</v>
      </c>
      <c r="Z22" s="63" t="s">
        <v>105</v>
      </c>
    </row>
    <row r="23" spans="1:28" ht="14.45" customHeight="1" thickBot="1">
      <c r="B23" s="214"/>
      <c r="C23" s="215"/>
      <c r="D23" s="215"/>
      <c r="E23" s="215"/>
      <c r="F23" s="216"/>
      <c r="G23" s="266" t="s">
        <v>53</v>
      </c>
      <c r="H23" s="267"/>
      <c r="I23" s="268"/>
      <c r="J23" s="99" t="s">
        <v>20</v>
      </c>
      <c r="K23" s="263" t="s">
        <v>53</v>
      </c>
      <c r="L23" s="264"/>
      <c r="M23" s="265"/>
      <c r="N23" s="10" t="s">
        <v>20</v>
      </c>
      <c r="O23" s="249" t="s">
        <v>53</v>
      </c>
      <c r="P23" s="250"/>
      <c r="Q23" s="251"/>
      <c r="R23" s="10" t="s">
        <v>20</v>
      </c>
      <c r="S23" s="249" t="s">
        <v>53</v>
      </c>
      <c r="T23" s="250"/>
      <c r="U23" s="251"/>
      <c r="V23" s="10" t="s">
        <v>20</v>
      </c>
      <c r="W23" s="229"/>
      <c r="X23" s="230"/>
      <c r="Y23" s="64">
        <v>10</v>
      </c>
      <c r="Z23" s="63" t="s">
        <v>79</v>
      </c>
    </row>
    <row r="24" spans="1:28" ht="14.45" customHeight="1" thickBot="1">
      <c r="B24" s="214"/>
      <c r="C24" s="215"/>
      <c r="D24" s="215"/>
      <c r="E24" s="215"/>
      <c r="F24" s="216"/>
      <c r="G24" s="269" t="s">
        <v>23</v>
      </c>
      <c r="H24" s="270"/>
      <c r="I24" s="97">
        <f>MROUND(F31*J24,5)</f>
        <v>360</v>
      </c>
      <c r="J24" s="98">
        <v>0.6</v>
      </c>
      <c r="K24" s="247" t="s">
        <v>23</v>
      </c>
      <c r="L24" s="248"/>
      <c r="M24" s="36">
        <f>MROUND(F31*N24,5)</f>
        <v>360</v>
      </c>
      <c r="N24" s="37">
        <v>0.6</v>
      </c>
      <c r="O24" s="247" t="s">
        <v>23</v>
      </c>
      <c r="P24" s="248"/>
      <c r="Q24" s="36">
        <f>MROUND(F31*R24,5)</f>
        <v>360</v>
      </c>
      <c r="R24" s="37">
        <v>0.6</v>
      </c>
      <c r="S24" s="247" t="s">
        <v>23</v>
      </c>
      <c r="T24" s="248"/>
      <c r="U24" s="36">
        <f>MROUND(F31*V24,5)</f>
        <v>360</v>
      </c>
      <c r="V24" s="37">
        <v>0.6</v>
      </c>
      <c r="W24" s="147" t="s">
        <v>106</v>
      </c>
      <c r="X24" s="148"/>
      <c r="Y24" s="148"/>
      <c r="Z24" s="149"/>
    </row>
    <row r="25" spans="1:28" ht="14.45" customHeight="1" thickBot="1">
      <c r="B25" s="214"/>
      <c r="C25" s="215"/>
      <c r="D25" s="215"/>
      <c r="E25" s="215"/>
      <c r="F25" s="216"/>
      <c r="G25" s="266" t="s">
        <v>52</v>
      </c>
      <c r="H25" s="267"/>
      <c r="I25" s="268"/>
      <c r="J25" s="99" t="s">
        <v>20</v>
      </c>
      <c r="K25" s="249" t="s">
        <v>52</v>
      </c>
      <c r="L25" s="250"/>
      <c r="M25" s="251"/>
      <c r="N25" s="10" t="s">
        <v>20</v>
      </c>
      <c r="O25" s="249" t="s">
        <v>52</v>
      </c>
      <c r="P25" s="250"/>
      <c r="Q25" s="251"/>
      <c r="R25" s="10" t="s">
        <v>20</v>
      </c>
      <c r="S25" s="249" t="s">
        <v>52</v>
      </c>
      <c r="T25" s="250"/>
      <c r="U25" s="251"/>
      <c r="V25" s="10" t="s">
        <v>20</v>
      </c>
      <c r="W25" s="150" t="s">
        <v>107</v>
      </c>
      <c r="X25" s="151"/>
      <c r="Y25" s="151"/>
      <c r="Z25" s="152"/>
    </row>
    <row r="26" spans="1:28" ht="14.45" customHeight="1" thickBot="1">
      <c r="B26" s="217"/>
      <c r="C26" s="218"/>
      <c r="D26" s="218"/>
      <c r="E26" s="218"/>
      <c r="F26" s="219"/>
      <c r="G26" s="328" t="s">
        <v>54</v>
      </c>
      <c r="H26" s="329"/>
      <c r="I26" s="330"/>
      <c r="J26" s="100" t="s">
        <v>15</v>
      </c>
      <c r="K26" s="277" t="s">
        <v>54</v>
      </c>
      <c r="L26" s="278"/>
      <c r="M26" s="279"/>
      <c r="N26" s="11" t="s">
        <v>15</v>
      </c>
      <c r="O26" s="277" t="s">
        <v>54</v>
      </c>
      <c r="P26" s="278"/>
      <c r="Q26" s="279"/>
      <c r="R26" s="11" t="s">
        <v>15</v>
      </c>
      <c r="S26" s="277" t="s">
        <v>54</v>
      </c>
      <c r="T26" s="278"/>
      <c r="U26" s="279"/>
      <c r="V26" s="11" t="s">
        <v>15</v>
      </c>
      <c r="W26" s="147" t="s">
        <v>108</v>
      </c>
      <c r="X26" s="148"/>
      <c r="Y26" s="148"/>
      <c r="Z26" s="149"/>
    </row>
    <row r="27" spans="1:28" ht="14.45" customHeight="1" thickBot="1">
      <c r="B27" s="274" t="s">
        <v>25</v>
      </c>
      <c r="C27" s="337" t="s">
        <v>24</v>
      </c>
      <c r="D27" s="338"/>
      <c r="E27" s="338"/>
      <c r="F27" s="339"/>
      <c r="G27" s="101">
        <v>0.65</v>
      </c>
      <c r="H27" s="102">
        <v>5</v>
      </c>
      <c r="I27" s="103">
        <f>MROUND(F31*G27,5)</f>
        <v>390</v>
      </c>
      <c r="J27" s="104"/>
      <c r="K27" s="89">
        <v>0.7</v>
      </c>
      <c r="L27" s="90">
        <v>3</v>
      </c>
      <c r="M27" s="90">
        <f>MROUND(F31*K27,5)</f>
        <v>420</v>
      </c>
      <c r="N27" s="91"/>
      <c r="O27" s="89">
        <v>0.75</v>
      </c>
      <c r="P27" s="90">
        <v>5</v>
      </c>
      <c r="Q27" s="90">
        <f>MROUND(F31*O27,5)</f>
        <v>450</v>
      </c>
      <c r="R27" s="91"/>
      <c r="S27" s="89">
        <v>0.65</v>
      </c>
      <c r="T27" s="90">
        <v>5</v>
      </c>
      <c r="U27" s="90">
        <f>MROUND(F31*S27,5)</f>
        <v>390</v>
      </c>
      <c r="V27" s="91"/>
      <c r="W27" s="147" t="s">
        <v>109</v>
      </c>
      <c r="X27" s="148"/>
      <c r="Y27" s="148"/>
      <c r="Z27" s="149"/>
    </row>
    <row r="28" spans="1:28" ht="14.45" customHeight="1" thickBot="1">
      <c r="B28" s="275"/>
      <c r="C28" s="340"/>
      <c r="D28" s="341"/>
      <c r="E28" s="341"/>
      <c r="F28" s="342"/>
      <c r="G28" s="101">
        <v>0.75</v>
      </c>
      <c r="H28" s="102">
        <v>5</v>
      </c>
      <c r="I28" s="103">
        <f>MROUND(F31*G28,5)</f>
        <v>450</v>
      </c>
      <c r="J28" s="105"/>
      <c r="K28" s="89">
        <v>0.8</v>
      </c>
      <c r="L28" s="90">
        <v>3</v>
      </c>
      <c r="M28" s="90">
        <f>MROUND(F31*K28,5)</f>
        <v>480</v>
      </c>
      <c r="N28" s="92"/>
      <c r="O28" s="89">
        <v>0.85</v>
      </c>
      <c r="P28" s="90">
        <v>3</v>
      </c>
      <c r="Q28" s="90">
        <f>MROUND(F31*O28,5)</f>
        <v>510</v>
      </c>
      <c r="R28" s="92"/>
      <c r="S28" s="89">
        <v>0.75</v>
      </c>
      <c r="T28" s="90">
        <v>5</v>
      </c>
      <c r="U28" s="90">
        <f>MROUND(F31*S28,5)</f>
        <v>450</v>
      </c>
      <c r="V28" s="92"/>
      <c r="W28" s="153" t="s">
        <v>111</v>
      </c>
      <c r="X28" s="154"/>
      <c r="Y28" s="63" t="s">
        <v>0</v>
      </c>
      <c r="Z28" s="63" t="s">
        <v>105</v>
      </c>
    </row>
    <row r="29" spans="1:28" ht="14.45" customHeight="1" thickBot="1">
      <c r="B29" s="276"/>
      <c r="C29" s="343"/>
      <c r="D29" s="344"/>
      <c r="E29" s="344"/>
      <c r="F29" s="345"/>
      <c r="G29" s="106">
        <v>0.85</v>
      </c>
      <c r="H29" s="107" t="s">
        <v>27</v>
      </c>
      <c r="I29" s="103">
        <f>MROUND(F31*G29,5)</f>
        <v>510</v>
      </c>
      <c r="J29" s="108"/>
      <c r="K29" s="93">
        <v>0.9</v>
      </c>
      <c r="L29" s="94" t="s">
        <v>34</v>
      </c>
      <c r="M29" s="90">
        <f>MROUND(F31*K29,5)</f>
        <v>540</v>
      </c>
      <c r="N29" s="95"/>
      <c r="O29" s="93">
        <v>0.95</v>
      </c>
      <c r="P29" s="94" t="s">
        <v>35</v>
      </c>
      <c r="Q29" s="94">
        <f>MROUND(F31*O29,5)</f>
        <v>570</v>
      </c>
      <c r="R29" s="95"/>
      <c r="S29" s="93">
        <v>0.85</v>
      </c>
      <c r="T29" s="94">
        <v>5</v>
      </c>
      <c r="U29" s="94">
        <f>MROUND(F31*S29,5)</f>
        <v>510</v>
      </c>
      <c r="V29" s="95"/>
      <c r="W29" s="155"/>
      <c r="X29" s="156"/>
      <c r="Y29" s="63" t="s">
        <v>10</v>
      </c>
      <c r="Z29" s="63" t="s">
        <v>58</v>
      </c>
    </row>
    <row r="30" spans="1:28" ht="14.45" customHeight="1" thickBot="1">
      <c r="B30" s="231" t="s">
        <v>33</v>
      </c>
      <c r="C30" s="232"/>
      <c r="D30" s="232"/>
      <c r="E30" s="233"/>
      <c r="F30" s="110">
        <v>1</v>
      </c>
      <c r="G30" s="111"/>
      <c r="H30" s="112"/>
      <c r="I30" s="103">
        <f>MROUND(F31*G30,5)</f>
        <v>0</v>
      </c>
      <c r="J30" s="113"/>
      <c r="K30" s="111"/>
      <c r="L30" s="112"/>
      <c r="M30" s="114">
        <f>MROUND(F31*K30,5)</f>
        <v>0</v>
      </c>
      <c r="N30" s="113"/>
      <c r="O30" s="111"/>
      <c r="P30" s="112"/>
      <c r="Q30" s="112">
        <f>MROUND(F31*O30,5)</f>
        <v>0</v>
      </c>
      <c r="R30" s="113"/>
      <c r="S30" s="111"/>
      <c r="T30" s="112"/>
      <c r="U30" s="112">
        <f>MROUND(F31*S30,5)</f>
        <v>0</v>
      </c>
      <c r="V30" s="113"/>
      <c r="W30" s="157" t="s">
        <v>112</v>
      </c>
      <c r="X30" s="158"/>
      <c r="Y30" s="115" t="s">
        <v>0</v>
      </c>
      <c r="Z30" s="115" t="s">
        <v>105</v>
      </c>
    </row>
    <row r="31" spans="1:28" ht="14.45" customHeight="1" thickBot="1">
      <c r="B31" s="234" t="s">
        <v>190</v>
      </c>
      <c r="C31" s="235"/>
      <c r="D31" s="235"/>
      <c r="E31" s="236"/>
      <c r="F31" s="116">
        <f>HLOOKUP(B31,$N$3:$T$4,2,FALSE)*F30</f>
        <v>600</v>
      </c>
      <c r="G31" s="117"/>
      <c r="H31" s="118"/>
      <c r="I31" s="103">
        <f>MROUND(F31*G31,5)</f>
        <v>0</v>
      </c>
      <c r="J31" s="119"/>
      <c r="K31" s="117"/>
      <c r="L31" s="118"/>
      <c r="M31" s="114">
        <f>MROUND(F31*K31,5)</f>
        <v>0</v>
      </c>
      <c r="N31" s="119"/>
      <c r="O31" s="117"/>
      <c r="P31" s="118"/>
      <c r="Q31" s="118">
        <f>MROUND(F31*O31,5)</f>
        <v>0</v>
      </c>
      <c r="R31" s="119"/>
      <c r="S31" s="117"/>
      <c r="T31" s="118"/>
      <c r="U31" s="118">
        <f>MROUND(F31*S31,5)</f>
        <v>0</v>
      </c>
      <c r="V31" s="119"/>
      <c r="W31" s="159"/>
      <c r="X31" s="160"/>
      <c r="Y31" s="115" t="s">
        <v>10</v>
      </c>
      <c r="Z31" s="115" t="s">
        <v>58</v>
      </c>
    </row>
    <row r="32" spans="1:28" ht="14.45" customHeight="1" thickBot="1">
      <c r="B32" s="237" t="s">
        <v>26</v>
      </c>
      <c r="C32" s="346" t="s">
        <v>29</v>
      </c>
      <c r="D32" s="347"/>
      <c r="E32" s="347"/>
      <c r="F32" s="348"/>
      <c r="G32" s="120">
        <v>0.4</v>
      </c>
      <c r="H32" s="121">
        <v>4</v>
      </c>
      <c r="I32" s="121">
        <f>MROUND(F36*G32,5)</f>
        <v>200</v>
      </c>
      <c r="J32" s="122"/>
      <c r="K32" s="120">
        <v>0.4</v>
      </c>
      <c r="L32" s="121">
        <v>4</v>
      </c>
      <c r="M32" s="121">
        <f>MROUND(F36*K32,5)</f>
        <v>200</v>
      </c>
      <c r="N32" s="122"/>
      <c r="O32" s="120">
        <v>0.45</v>
      </c>
      <c r="P32" s="121">
        <v>4</v>
      </c>
      <c r="Q32" s="121">
        <f>MROUND(F36*O32,5)</f>
        <v>225</v>
      </c>
      <c r="R32" s="122"/>
      <c r="S32" s="120">
        <v>0.45</v>
      </c>
      <c r="T32" s="121">
        <v>4</v>
      </c>
      <c r="U32" s="121">
        <f>MROUND(F36*S32,5)</f>
        <v>225</v>
      </c>
      <c r="V32" s="122"/>
      <c r="W32" s="161" t="s">
        <v>113</v>
      </c>
      <c r="X32" s="158"/>
      <c r="Y32" s="115" t="s">
        <v>0</v>
      </c>
      <c r="Z32" s="115" t="s">
        <v>105</v>
      </c>
    </row>
    <row r="33" spans="2:26" ht="14.45" customHeight="1" thickBot="1">
      <c r="B33" s="238"/>
      <c r="C33" s="349"/>
      <c r="D33" s="350"/>
      <c r="E33" s="350"/>
      <c r="F33" s="351"/>
      <c r="G33" s="187" t="s">
        <v>42</v>
      </c>
      <c r="H33" s="188"/>
      <c r="I33" s="188"/>
      <c r="J33" s="189"/>
      <c r="K33" s="187" t="s">
        <v>42</v>
      </c>
      <c r="L33" s="188"/>
      <c r="M33" s="188"/>
      <c r="N33" s="189"/>
      <c r="O33" s="187" t="s">
        <v>42</v>
      </c>
      <c r="P33" s="188"/>
      <c r="Q33" s="188"/>
      <c r="R33" s="189"/>
      <c r="S33" s="187" t="s">
        <v>42</v>
      </c>
      <c r="T33" s="188"/>
      <c r="U33" s="188"/>
      <c r="V33" s="189"/>
      <c r="W33" s="159"/>
      <c r="X33" s="160"/>
      <c r="Y33" s="115">
        <v>10</v>
      </c>
      <c r="Z33" s="115" t="s">
        <v>79</v>
      </c>
    </row>
    <row r="34" spans="2:26" ht="14.45" customHeight="1" thickBot="1">
      <c r="B34" s="238"/>
      <c r="C34" s="352"/>
      <c r="D34" s="353"/>
      <c r="E34" s="353"/>
      <c r="F34" s="354"/>
      <c r="G34" s="123">
        <v>0.4</v>
      </c>
      <c r="H34" s="124">
        <v>4</v>
      </c>
      <c r="I34" s="124">
        <f>MROUND(F36*G34,5)</f>
        <v>200</v>
      </c>
      <c r="J34" s="125"/>
      <c r="K34" s="123">
        <v>0.4</v>
      </c>
      <c r="L34" s="124">
        <v>4</v>
      </c>
      <c r="M34" s="124">
        <f>MROUND(F36*K34,5)</f>
        <v>200</v>
      </c>
      <c r="N34" s="125"/>
      <c r="O34" s="123">
        <v>0.45</v>
      </c>
      <c r="P34" s="124">
        <v>4</v>
      </c>
      <c r="Q34" s="124">
        <f>MROUND(F36*O34,5)</f>
        <v>225</v>
      </c>
      <c r="R34" s="125"/>
      <c r="S34" s="123">
        <v>0.45</v>
      </c>
      <c r="T34" s="124">
        <v>4</v>
      </c>
      <c r="U34" s="124">
        <f>MROUND(F36*S34,5)</f>
        <v>225</v>
      </c>
      <c r="V34" s="125"/>
      <c r="W34" s="162" t="s">
        <v>173</v>
      </c>
      <c r="X34" s="163"/>
      <c r="Y34" s="163"/>
      <c r="Z34" s="164"/>
    </row>
    <row r="35" spans="2:26" ht="14.45" customHeight="1" thickBot="1">
      <c r="B35" s="231" t="s">
        <v>33</v>
      </c>
      <c r="C35" s="232"/>
      <c r="D35" s="232"/>
      <c r="E35" s="233"/>
      <c r="F35" s="110">
        <v>1</v>
      </c>
      <c r="G35" s="187" t="s">
        <v>43</v>
      </c>
      <c r="H35" s="188"/>
      <c r="I35" s="188"/>
      <c r="J35" s="189"/>
      <c r="K35" s="187" t="s">
        <v>43</v>
      </c>
      <c r="L35" s="188"/>
      <c r="M35" s="188"/>
      <c r="N35" s="189"/>
      <c r="O35" s="187" t="s">
        <v>43</v>
      </c>
      <c r="P35" s="188"/>
      <c r="Q35" s="188"/>
      <c r="R35" s="189"/>
      <c r="S35" s="187" t="s">
        <v>43</v>
      </c>
      <c r="T35" s="188"/>
      <c r="U35" s="188"/>
      <c r="V35" s="189"/>
      <c r="W35" s="165"/>
      <c r="X35" s="166"/>
      <c r="Y35" s="166"/>
      <c r="Z35" s="167"/>
    </row>
    <row r="36" spans="2:26" ht="14.45" customHeight="1" thickBot="1">
      <c r="B36" s="234" t="s">
        <v>184</v>
      </c>
      <c r="C36" s="235"/>
      <c r="D36" s="235"/>
      <c r="E36" s="236"/>
      <c r="F36" s="126">
        <f>HLOOKUP(B36,$N$3:$T$4,2,FALSE)*F35</f>
        <v>500</v>
      </c>
      <c r="G36" s="127">
        <v>0.4</v>
      </c>
      <c r="H36" s="128">
        <v>4</v>
      </c>
      <c r="I36" s="128">
        <f>MROUND(F36*G36,5)</f>
        <v>200</v>
      </c>
      <c r="J36" s="129"/>
      <c r="K36" s="127">
        <v>0.4</v>
      </c>
      <c r="L36" s="128">
        <v>4</v>
      </c>
      <c r="M36" s="128">
        <f>MROUND(F36*K36,5)</f>
        <v>200</v>
      </c>
      <c r="N36" s="129"/>
      <c r="O36" s="127">
        <v>0.45</v>
      </c>
      <c r="P36" s="128">
        <v>4</v>
      </c>
      <c r="Q36" s="128">
        <f>MROUND(F36*O36,5)</f>
        <v>225</v>
      </c>
      <c r="R36" s="129"/>
      <c r="S36" s="127">
        <v>0.45</v>
      </c>
      <c r="T36" s="128">
        <v>4</v>
      </c>
      <c r="U36" s="128">
        <f>MROUND(F36*S36,5)</f>
        <v>225</v>
      </c>
      <c r="V36" s="129"/>
      <c r="W36" s="289" t="s">
        <v>114</v>
      </c>
      <c r="X36" s="290"/>
      <c r="Y36" s="290"/>
      <c r="Z36" s="291"/>
    </row>
    <row r="37" spans="2:26" ht="14.45" customHeight="1" thickBot="1">
      <c r="B37" s="314" t="s">
        <v>48</v>
      </c>
      <c r="C37" s="355" t="s">
        <v>36</v>
      </c>
      <c r="D37" s="356"/>
      <c r="E37" s="356"/>
      <c r="F37" s="357"/>
      <c r="G37" s="130"/>
      <c r="H37" s="121">
        <v>8</v>
      </c>
      <c r="I37" s="121"/>
      <c r="J37" s="122"/>
      <c r="K37" s="130"/>
      <c r="L37" s="121">
        <v>8</v>
      </c>
      <c r="M37" s="121"/>
      <c r="N37" s="122"/>
      <c r="O37" s="130"/>
      <c r="P37" s="131">
        <v>8</v>
      </c>
      <c r="Q37" s="121"/>
      <c r="R37" s="122"/>
      <c r="S37" s="130"/>
      <c r="T37" s="121">
        <v>8</v>
      </c>
      <c r="U37" s="121"/>
      <c r="V37" s="122"/>
      <c r="W37" s="161" t="s">
        <v>168</v>
      </c>
      <c r="X37" s="158"/>
      <c r="Y37" s="115" t="s">
        <v>0</v>
      </c>
      <c r="Z37" s="115" t="s">
        <v>105</v>
      </c>
    </row>
    <row r="38" spans="2:26" ht="14.45" customHeight="1" thickBot="1">
      <c r="B38" s="315"/>
      <c r="C38" s="358"/>
      <c r="D38" s="359"/>
      <c r="E38" s="359"/>
      <c r="F38" s="360"/>
      <c r="G38" s="187" t="s">
        <v>44</v>
      </c>
      <c r="H38" s="188"/>
      <c r="I38" s="188"/>
      <c r="J38" s="189"/>
      <c r="K38" s="187" t="s">
        <v>44</v>
      </c>
      <c r="L38" s="188"/>
      <c r="M38" s="188"/>
      <c r="N38" s="189"/>
      <c r="O38" s="187" t="s">
        <v>44</v>
      </c>
      <c r="P38" s="188"/>
      <c r="Q38" s="188"/>
      <c r="R38" s="189"/>
      <c r="S38" s="187" t="s">
        <v>44</v>
      </c>
      <c r="T38" s="188"/>
      <c r="U38" s="188"/>
      <c r="V38" s="189"/>
      <c r="W38" s="159"/>
      <c r="X38" s="160"/>
      <c r="Y38" s="115" t="s">
        <v>170</v>
      </c>
      <c r="Z38" s="115" t="s">
        <v>58</v>
      </c>
    </row>
    <row r="39" spans="2:26" ht="14.45" customHeight="1" thickBot="1">
      <c r="B39" s="315"/>
      <c r="C39" s="358"/>
      <c r="D39" s="359"/>
      <c r="E39" s="359"/>
      <c r="F39" s="360"/>
      <c r="G39" s="132"/>
      <c r="H39" s="124">
        <v>8</v>
      </c>
      <c r="I39" s="124"/>
      <c r="J39" s="125"/>
      <c r="K39" s="132"/>
      <c r="L39" s="124">
        <v>8</v>
      </c>
      <c r="M39" s="124"/>
      <c r="N39" s="125"/>
      <c r="O39" s="132"/>
      <c r="P39" s="124">
        <v>8</v>
      </c>
      <c r="Q39" s="124"/>
      <c r="R39" s="125"/>
      <c r="S39" s="132"/>
      <c r="T39" s="124">
        <v>8</v>
      </c>
      <c r="U39" s="124"/>
      <c r="V39" s="125"/>
      <c r="W39" s="161" t="s">
        <v>113</v>
      </c>
      <c r="X39" s="158"/>
      <c r="Y39" s="115" t="s">
        <v>0</v>
      </c>
      <c r="Z39" s="115" t="s">
        <v>105</v>
      </c>
    </row>
    <row r="40" spans="2:26" ht="14.45" customHeight="1" thickBot="1">
      <c r="B40" s="315"/>
      <c r="C40" s="358"/>
      <c r="D40" s="359"/>
      <c r="E40" s="359"/>
      <c r="F40" s="360"/>
      <c r="G40" s="187" t="s">
        <v>45</v>
      </c>
      <c r="H40" s="188"/>
      <c r="I40" s="188"/>
      <c r="J40" s="189"/>
      <c r="K40" s="187" t="s">
        <v>45</v>
      </c>
      <c r="L40" s="188"/>
      <c r="M40" s="188"/>
      <c r="N40" s="189"/>
      <c r="O40" s="187" t="s">
        <v>45</v>
      </c>
      <c r="P40" s="188"/>
      <c r="Q40" s="188"/>
      <c r="R40" s="189"/>
      <c r="S40" s="187" t="s">
        <v>45</v>
      </c>
      <c r="T40" s="188"/>
      <c r="U40" s="188"/>
      <c r="V40" s="189"/>
      <c r="W40" s="159"/>
      <c r="X40" s="160"/>
      <c r="Y40" s="115">
        <v>6</v>
      </c>
      <c r="Z40" s="115" t="s">
        <v>79</v>
      </c>
    </row>
    <row r="41" spans="2:26" ht="14.45" customHeight="1" thickBot="1">
      <c r="B41" s="316"/>
      <c r="C41" s="361"/>
      <c r="D41" s="362"/>
      <c r="E41" s="362"/>
      <c r="F41" s="363"/>
      <c r="G41" s="133"/>
      <c r="H41" s="128">
        <v>8</v>
      </c>
      <c r="I41" s="128"/>
      <c r="J41" s="129"/>
      <c r="K41" s="133"/>
      <c r="L41" s="128">
        <v>8</v>
      </c>
      <c r="M41" s="128"/>
      <c r="N41" s="129"/>
      <c r="O41" s="133"/>
      <c r="P41" s="128">
        <v>8</v>
      </c>
      <c r="Q41" s="128"/>
      <c r="R41" s="129"/>
      <c r="S41" s="133"/>
      <c r="T41" s="128">
        <v>8</v>
      </c>
      <c r="U41" s="128"/>
      <c r="V41" s="129"/>
      <c r="W41" s="174" t="s">
        <v>169</v>
      </c>
      <c r="X41" s="175"/>
      <c r="Y41" s="115" t="s">
        <v>0</v>
      </c>
      <c r="Z41" s="115" t="s">
        <v>105</v>
      </c>
    </row>
    <row r="42" spans="2:26" ht="14.45" customHeight="1" thickBot="1">
      <c r="B42" s="314" t="s">
        <v>48</v>
      </c>
      <c r="C42" s="364" t="s">
        <v>85</v>
      </c>
      <c r="D42" s="365"/>
      <c r="E42" s="365"/>
      <c r="F42" s="366"/>
      <c r="G42" s="130"/>
      <c r="H42" s="121">
        <v>5</v>
      </c>
      <c r="I42" s="121"/>
      <c r="J42" s="122"/>
      <c r="K42" s="130"/>
      <c r="L42" s="121">
        <v>5</v>
      </c>
      <c r="M42" s="121"/>
      <c r="N42" s="122"/>
      <c r="O42" s="130"/>
      <c r="P42" s="121">
        <v>5</v>
      </c>
      <c r="Q42" s="121"/>
      <c r="R42" s="122"/>
      <c r="S42" s="130"/>
      <c r="T42" s="121">
        <v>5</v>
      </c>
      <c r="U42" s="121"/>
      <c r="V42" s="122"/>
      <c r="W42" s="176"/>
      <c r="X42" s="177"/>
      <c r="Y42" s="115">
        <v>3</v>
      </c>
      <c r="Z42" s="115" t="s">
        <v>115</v>
      </c>
    </row>
    <row r="43" spans="2:26" ht="14.45" customHeight="1" thickBot="1">
      <c r="B43" s="315"/>
      <c r="C43" s="367"/>
      <c r="D43" s="368"/>
      <c r="E43" s="368"/>
      <c r="F43" s="369"/>
      <c r="G43" s="187" t="s">
        <v>46</v>
      </c>
      <c r="H43" s="188"/>
      <c r="I43" s="188"/>
      <c r="J43" s="189"/>
      <c r="K43" s="187" t="s">
        <v>46</v>
      </c>
      <c r="L43" s="188"/>
      <c r="M43" s="188"/>
      <c r="N43" s="189"/>
      <c r="O43" s="187" t="s">
        <v>46</v>
      </c>
      <c r="P43" s="188"/>
      <c r="Q43" s="188"/>
      <c r="R43" s="189"/>
      <c r="S43" s="187" t="s">
        <v>46</v>
      </c>
      <c r="T43" s="188"/>
      <c r="U43" s="188"/>
      <c r="V43" s="189"/>
      <c r="W43" s="289" t="s">
        <v>116</v>
      </c>
      <c r="X43" s="290"/>
      <c r="Y43" s="290"/>
      <c r="Z43" s="291"/>
    </row>
    <row r="44" spans="2:26" ht="14.45" customHeight="1" thickBot="1">
      <c r="B44" s="315"/>
      <c r="C44" s="367"/>
      <c r="D44" s="368"/>
      <c r="E44" s="368"/>
      <c r="F44" s="369"/>
      <c r="G44" s="132"/>
      <c r="H44" s="124">
        <v>5</v>
      </c>
      <c r="I44" s="124"/>
      <c r="J44" s="125"/>
      <c r="K44" s="132"/>
      <c r="L44" s="124">
        <v>5</v>
      </c>
      <c r="M44" s="124"/>
      <c r="N44" s="125"/>
      <c r="O44" s="132"/>
      <c r="P44" s="124">
        <v>5</v>
      </c>
      <c r="Q44" s="124"/>
      <c r="R44" s="125"/>
      <c r="S44" s="132"/>
      <c r="T44" s="124">
        <v>5</v>
      </c>
      <c r="U44" s="124"/>
      <c r="V44" s="125"/>
      <c r="W44" s="289" t="s">
        <v>117</v>
      </c>
      <c r="X44" s="290"/>
      <c r="Y44" s="290"/>
      <c r="Z44" s="291"/>
    </row>
    <row r="45" spans="2:26" ht="14.45" customHeight="1">
      <c r="B45" s="315"/>
      <c r="C45" s="367"/>
      <c r="D45" s="368"/>
      <c r="E45" s="368"/>
      <c r="F45" s="369"/>
      <c r="G45" s="187" t="s">
        <v>46</v>
      </c>
      <c r="H45" s="188"/>
      <c r="I45" s="188"/>
      <c r="J45" s="189"/>
      <c r="K45" s="187" t="s">
        <v>46</v>
      </c>
      <c r="L45" s="188"/>
      <c r="M45" s="188"/>
      <c r="N45" s="189"/>
      <c r="O45" s="187" t="s">
        <v>46</v>
      </c>
      <c r="P45" s="188"/>
      <c r="Q45" s="188"/>
      <c r="R45" s="189"/>
      <c r="S45" s="187" t="s">
        <v>46</v>
      </c>
      <c r="T45" s="188"/>
      <c r="U45" s="188"/>
      <c r="V45" s="189"/>
      <c r="W45" s="178" t="s">
        <v>160</v>
      </c>
      <c r="X45" s="179"/>
      <c r="Y45" s="179"/>
      <c r="Z45" s="180"/>
    </row>
    <row r="46" spans="2:26" ht="14.45" customHeight="1" thickBot="1">
      <c r="B46" s="316"/>
      <c r="C46" s="370"/>
      <c r="D46" s="371"/>
      <c r="E46" s="371"/>
      <c r="F46" s="372"/>
      <c r="G46" s="133"/>
      <c r="H46" s="128">
        <v>5</v>
      </c>
      <c r="I46" s="128"/>
      <c r="J46" s="129"/>
      <c r="K46" s="133"/>
      <c r="L46" s="128">
        <v>5</v>
      </c>
      <c r="M46" s="128"/>
      <c r="N46" s="129"/>
      <c r="O46" s="133"/>
      <c r="P46" s="128">
        <v>5</v>
      </c>
      <c r="Q46" s="128"/>
      <c r="R46" s="129"/>
      <c r="S46" s="133"/>
      <c r="T46" s="128">
        <v>5</v>
      </c>
      <c r="U46" s="128"/>
      <c r="V46" s="129"/>
      <c r="W46" s="181"/>
      <c r="X46" s="182"/>
      <c r="Y46" s="182"/>
      <c r="Z46" s="183"/>
    </row>
    <row r="47" spans="2:26" ht="14.45" customHeight="1">
      <c r="B47" s="314" t="s">
        <v>48</v>
      </c>
      <c r="C47" s="364" t="s">
        <v>37</v>
      </c>
      <c r="D47" s="365"/>
      <c r="E47" s="365"/>
      <c r="F47" s="366"/>
      <c r="G47" s="130"/>
      <c r="H47" s="121">
        <v>10</v>
      </c>
      <c r="I47" s="121"/>
      <c r="J47" s="122"/>
      <c r="K47" s="130"/>
      <c r="L47" s="121">
        <v>10</v>
      </c>
      <c r="M47" s="121"/>
      <c r="N47" s="122"/>
      <c r="O47" s="130"/>
      <c r="P47" s="121">
        <v>10</v>
      </c>
      <c r="Q47" s="121"/>
      <c r="R47" s="122"/>
      <c r="S47" s="130"/>
      <c r="T47" s="121">
        <v>10</v>
      </c>
      <c r="U47" s="121"/>
      <c r="V47" s="122"/>
      <c r="W47" s="181"/>
      <c r="X47" s="182"/>
      <c r="Y47" s="182"/>
      <c r="Z47" s="183"/>
    </row>
    <row r="48" spans="2:26" ht="14.45" customHeight="1">
      <c r="B48" s="315"/>
      <c r="C48" s="367"/>
      <c r="D48" s="368"/>
      <c r="E48" s="368"/>
      <c r="F48" s="369"/>
      <c r="G48" s="187" t="s">
        <v>47</v>
      </c>
      <c r="H48" s="188"/>
      <c r="I48" s="188"/>
      <c r="J48" s="189"/>
      <c r="K48" s="187" t="s">
        <v>47</v>
      </c>
      <c r="L48" s="188"/>
      <c r="M48" s="188"/>
      <c r="N48" s="189"/>
      <c r="O48" s="187" t="s">
        <v>47</v>
      </c>
      <c r="P48" s="188"/>
      <c r="Q48" s="188"/>
      <c r="R48" s="189"/>
      <c r="S48" s="187" t="s">
        <v>47</v>
      </c>
      <c r="T48" s="188"/>
      <c r="U48" s="188"/>
      <c r="V48" s="189"/>
      <c r="W48" s="181"/>
      <c r="X48" s="182"/>
      <c r="Y48" s="182"/>
      <c r="Z48" s="183"/>
    </row>
    <row r="49" spans="2:26" ht="14.45" customHeight="1">
      <c r="B49" s="315"/>
      <c r="C49" s="367"/>
      <c r="D49" s="368"/>
      <c r="E49" s="368"/>
      <c r="F49" s="369"/>
      <c r="G49" s="132"/>
      <c r="H49" s="124">
        <v>10</v>
      </c>
      <c r="I49" s="124"/>
      <c r="J49" s="125"/>
      <c r="K49" s="132"/>
      <c r="L49" s="124">
        <v>10</v>
      </c>
      <c r="M49" s="124"/>
      <c r="N49" s="125"/>
      <c r="O49" s="132"/>
      <c r="P49" s="124">
        <v>10</v>
      </c>
      <c r="Q49" s="124"/>
      <c r="R49" s="125"/>
      <c r="S49" s="132"/>
      <c r="T49" s="124">
        <v>10</v>
      </c>
      <c r="U49" s="124"/>
      <c r="V49" s="125"/>
      <c r="W49" s="181"/>
      <c r="X49" s="182"/>
      <c r="Y49" s="182"/>
      <c r="Z49" s="183"/>
    </row>
    <row r="50" spans="2:26" ht="14.45" customHeight="1">
      <c r="B50" s="315"/>
      <c r="C50" s="367"/>
      <c r="D50" s="368"/>
      <c r="E50" s="368"/>
      <c r="F50" s="369"/>
      <c r="G50" s="187" t="s">
        <v>47</v>
      </c>
      <c r="H50" s="188"/>
      <c r="I50" s="188"/>
      <c r="J50" s="189"/>
      <c r="K50" s="187" t="s">
        <v>47</v>
      </c>
      <c r="L50" s="188"/>
      <c r="M50" s="188"/>
      <c r="N50" s="189"/>
      <c r="O50" s="187" t="s">
        <v>47</v>
      </c>
      <c r="P50" s="188"/>
      <c r="Q50" s="188"/>
      <c r="R50" s="189"/>
      <c r="S50" s="187" t="s">
        <v>47</v>
      </c>
      <c r="T50" s="188"/>
      <c r="U50" s="188"/>
      <c r="V50" s="189"/>
      <c r="W50" s="181"/>
      <c r="X50" s="182"/>
      <c r="Y50" s="182"/>
      <c r="Z50" s="183"/>
    </row>
    <row r="51" spans="2:26" ht="14.45" customHeight="1" thickBot="1">
      <c r="B51" s="316"/>
      <c r="C51" s="370"/>
      <c r="D51" s="371"/>
      <c r="E51" s="371"/>
      <c r="F51" s="372"/>
      <c r="G51" s="133"/>
      <c r="H51" s="128">
        <v>10</v>
      </c>
      <c r="I51" s="128"/>
      <c r="J51" s="129"/>
      <c r="K51" s="133"/>
      <c r="L51" s="128">
        <v>10</v>
      </c>
      <c r="M51" s="128"/>
      <c r="N51" s="129"/>
      <c r="O51" s="133"/>
      <c r="P51" s="128">
        <v>10</v>
      </c>
      <c r="Q51" s="128"/>
      <c r="R51" s="129"/>
      <c r="S51" s="133"/>
      <c r="T51" s="128">
        <v>10</v>
      </c>
      <c r="U51" s="128"/>
      <c r="V51" s="129"/>
      <c r="W51" s="181"/>
      <c r="X51" s="182"/>
      <c r="Y51" s="182"/>
      <c r="Z51" s="183"/>
    </row>
    <row r="52" spans="2:26" ht="14.45" customHeight="1">
      <c r="B52" s="311" t="s">
        <v>11</v>
      </c>
      <c r="C52" s="307" t="s">
        <v>38</v>
      </c>
      <c r="D52" s="307"/>
      <c r="E52" s="307"/>
      <c r="F52" s="308"/>
      <c r="G52" s="134"/>
      <c r="H52" s="135">
        <v>8</v>
      </c>
      <c r="I52" s="136"/>
      <c r="J52" s="137"/>
      <c r="K52" s="134"/>
      <c r="L52" s="135">
        <v>8</v>
      </c>
      <c r="M52" s="136"/>
      <c r="N52" s="137"/>
      <c r="O52" s="134"/>
      <c r="P52" s="135">
        <v>8</v>
      </c>
      <c r="Q52" s="136"/>
      <c r="R52" s="137"/>
      <c r="S52" s="134"/>
      <c r="T52" s="135">
        <v>8</v>
      </c>
      <c r="U52" s="136"/>
      <c r="V52" s="137"/>
      <c r="W52" s="181"/>
      <c r="X52" s="182"/>
      <c r="Y52" s="182"/>
      <c r="Z52" s="183"/>
    </row>
    <row r="53" spans="2:26" ht="14.45" customHeight="1" thickBot="1">
      <c r="B53" s="312"/>
      <c r="C53" s="309"/>
      <c r="D53" s="309"/>
      <c r="E53" s="309"/>
      <c r="F53" s="310"/>
      <c r="G53" s="138"/>
      <c r="H53" s="139">
        <v>8</v>
      </c>
      <c r="I53" s="140"/>
      <c r="J53" s="141"/>
      <c r="K53" s="138"/>
      <c r="L53" s="139">
        <v>8</v>
      </c>
      <c r="M53" s="140"/>
      <c r="N53" s="141"/>
      <c r="O53" s="138"/>
      <c r="P53" s="139">
        <v>8</v>
      </c>
      <c r="Q53" s="140"/>
      <c r="R53" s="141"/>
      <c r="S53" s="138"/>
      <c r="T53" s="139">
        <v>8</v>
      </c>
      <c r="U53" s="140"/>
      <c r="V53" s="141"/>
      <c r="W53" s="181"/>
      <c r="X53" s="182"/>
      <c r="Y53" s="182"/>
      <c r="Z53" s="183"/>
    </row>
    <row r="54" spans="2:26" ht="14.45" customHeight="1">
      <c r="B54" s="312"/>
      <c r="C54" s="307" t="s">
        <v>39</v>
      </c>
      <c r="D54" s="307"/>
      <c r="E54" s="307"/>
      <c r="F54" s="308"/>
      <c r="G54" s="134"/>
      <c r="H54" s="135">
        <v>8</v>
      </c>
      <c r="I54" s="136"/>
      <c r="J54" s="137"/>
      <c r="K54" s="134"/>
      <c r="L54" s="135">
        <v>8</v>
      </c>
      <c r="M54" s="136"/>
      <c r="N54" s="137"/>
      <c r="O54" s="134"/>
      <c r="P54" s="135">
        <v>8</v>
      </c>
      <c r="Q54" s="136"/>
      <c r="R54" s="137"/>
      <c r="S54" s="134"/>
      <c r="T54" s="135">
        <v>8</v>
      </c>
      <c r="U54" s="136"/>
      <c r="V54" s="137"/>
      <c r="W54" s="181"/>
      <c r="X54" s="182"/>
      <c r="Y54" s="182"/>
      <c r="Z54" s="183"/>
    </row>
    <row r="55" spans="2:26" ht="14.45" customHeight="1" thickBot="1">
      <c r="B55" s="312"/>
      <c r="C55" s="309"/>
      <c r="D55" s="309"/>
      <c r="E55" s="309"/>
      <c r="F55" s="310"/>
      <c r="G55" s="138"/>
      <c r="H55" s="139">
        <v>8</v>
      </c>
      <c r="I55" s="140"/>
      <c r="J55" s="141"/>
      <c r="K55" s="138"/>
      <c r="L55" s="139">
        <v>8</v>
      </c>
      <c r="M55" s="140"/>
      <c r="N55" s="141"/>
      <c r="O55" s="138"/>
      <c r="P55" s="139">
        <v>8</v>
      </c>
      <c r="Q55" s="140"/>
      <c r="R55" s="141"/>
      <c r="S55" s="138"/>
      <c r="T55" s="139">
        <v>8</v>
      </c>
      <c r="U55" s="140"/>
      <c r="V55" s="141"/>
      <c r="W55" s="181"/>
      <c r="X55" s="182"/>
      <c r="Y55" s="182"/>
      <c r="Z55" s="183"/>
    </row>
    <row r="56" spans="2:26" ht="14.45" customHeight="1">
      <c r="B56" s="312"/>
      <c r="C56" s="307" t="s">
        <v>40</v>
      </c>
      <c r="D56" s="307"/>
      <c r="E56" s="307"/>
      <c r="F56" s="308"/>
      <c r="G56" s="134"/>
      <c r="H56" s="135">
        <v>8</v>
      </c>
      <c r="I56" s="136"/>
      <c r="J56" s="137"/>
      <c r="K56" s="134"/>
      <c r="L56" s="135">
        <v>8</v>
      </c>
      <c r="M56" s="136"/>
      <c r="N56" s="137"/>
      <c r="O56" s="134"/>
      <c r="P56" s="135">
        <v>8</v>
      </c>
      <c r="Q56" s="136"/>
      <c r="R56" s="137"/>
      <c r="S56" s="134"/>
      <c r="T56" s="135">
        <v>8</v>
      </c>
      <c r="U56" s="136"/>
      <c r="V56" s="137"/>
      <c r="W56" s="181"/>
      <c r="X56" s="182"/>
      <c r="Y56" s="182"/>
      <c r="Z56" s="183"/>
    </row>
    <row r="57" spans="2:26" ht="14.45" customHeight="1" thickBot="1">
      <c r="B57" s="312"/>
      <c r="C57" s="309"/>
      <c r="D57" s="309"/>
      <c r="E57" s="309"/>
      <c r="F57" s="310"/>
      <c r="G57" s="138"/>
      <c r="H57" s="139">
        <v>8</v>
      </c>
      <c r="I57" s="140"/>
      <c r="J57" s="141"/>
      <c r="K57" s="138"/>
      <c r="L57" s="139">
        <v>8</v>
      </c>
      <c r="M57" s="140"/>
      <c r="N57" s="141"/>
      <c r="O57" s="138"/>
      <c r="P57" s="139">
        <v>8</v>
      </c>
      <c r="Q57" s="140"/>
      <c r="R57" s="141"/>
      <c r="S57" s="138"/>
      <c r="T57" s="139">
        <v>8</v>
      </c>
      <c r="U57" s="140"/>
      <c r="V57" s="141"/>
      <c r="W57" s="181"/>
      <c r="X57" s="182"/>
      <c r="Y57" s="182"/>
      <c r="Z57" s="183"/>
    </row>
    <row r="58" spans="2:26" ht="14.45" customHeight="1">
      <c r="B58" s="312"/>
      <c r="C58" s="307" t="s">
        <v>41</v>
      </c>
      <c r="D58" s="307"/>
      <c r="E58" s="307"/>
      <c r="F58" s="308"/>
      <c r="G58" s="134"/>
      <c r="H58" s="135">
        <v>8</v>
      </c>
      <c r="I58" s="135"/>
      <c r="J58" s="137"/>
      <c r="K58" s="134"/>
      <c r="L58" s="135">
        <v>8</v>
      </c>
      <c r="M58" s="135"/>
      <c r="N58" s="137"/>
      <c r="O58" s="134"/>
      <c r="P58" s="135">
        <v>8</v>
      </c>
      <c r="Q58" s="135"/>
      <c r="R58" s="137"/>
      <c r="S58" s="134"/>
      <c r="T58" s="135">
        <v>8</v>
      </c>
      <c r="U58" s="135"/>
      <c r="V58" s="137"/>
      <c r="W58" s="181"/>
      <c r="X58" s="182"/>
      <c r="Y58" s="182"/>
      <c r="Z58" s="183"/>
    </row>
    <row r="59" spans="2:26" ht="14.45" customHeight="1" thickBot="1">
      <c r="B59" s="313"/>
      <c r="C59" s="309"/>
      <c r="D59" s="309"/>
      <c r="E59" s="309"/>
      <c r="F59" s="310"/>
      <c r="G59" s="142"/>
      <c r="H59" s="139">
        <v>8</v>
      </c>
      <c r="I59" s="139"/>
      <c r="J59" s="141"/>
      <c r="K59" s="142"/>
      <c r="L59" s="139">
        <v>8</v>
      </c>
      <c r="M59" s="139"/>
      <c r="N59" s="141"/>
      <c r="O59" s="142"/>
      <c r="P59" s="139">
        <v>8</v>
      </c>
      <c r="Q59" s="139"/>
      <c r="R59" s="141"/>
      <c r="S59" s="142"/>
      <c r="T59" s="139">
        <v>8</v>
      </c>
      <c r="U59" s="139"/>
      <c r="V59" s="141"/>
      <c r="W59" s="184"/>
      <c r="X59" s="185"/>
      <c r="Y59" s="185"/>
      <c r="Z59" s="186"/>
    </row>
    <row r="60" spans="2:26" ht="14.45" customHeight="1">
      <c r="B60" s="280" t="s">
        <v>94</v>
      </c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2"/>
    </row>
    <row r="61" spans="2:26" ht="15" customHeight="1">
      <c r="B61" s="283"/>
      <c r="C61" s="284"/>
      <c r="D61" s="284"/>
      <c r="E61" s="284"/>
      <c r="F61" s="284"/>
      <c r="G61" s="284"/>
      <c r="H61" s="284"/>
      <c r="I61" s="284"/>
      <c r="J61" s="284"/>
      <c r="K61" s="284"/>
      <c r="L61" s="284"/>
      <c r="M61" s="284"/>
      <c r="N61" s="284"/>
      <c r="O61" s="284"/>
      <c r="P61" s="284"/>
      <c r="Q61" s="284"/>
      <c r="R61" s="284"/>
      <c r="S61" s="284"/>
      <c r="T61" s="284"/>
      <c r="U61" s="284"/>
      <c r="V61" s="284"/>
      <c r="W61" s="284"/>
      <c r="X61" s="284"/>
      <c r="Y61" s="284"/>
      <c r="Z61" s="285"/>
    </row>
    <row r="62" spans="2:26" ht="15" customHeight="1">
      <c r="B62" s="283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84"/>
      <c r="Y62" s="284"/>
      <c r="Z62" s="285"/>
    </row>
    <row r="63" spans="2:26" ht="15" customHeight="1">
      <c r="B63" s="283"/>
      <c r="C63" s="284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5"/>
    </row>
    <row r="64" spans="2:26" ht="15" customHeight="1" thickBot="1">
      <c r="B64" s="286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  <c r="Q64" s="287"/>
      <c r="R64" s="287"/>
      <c r="S64" s="287"/>
      <c r="T64" s="287"/>
      <c r="U64" s="287"/>
      <c r="V64" s="287"/>
      <c r="W64" s="287"/>
      <c r="X64" s="287"/>
      <c r="Y64" s="287"/>
      <c r="Z64" s="288"/>
    </row>
    <row r="65" spans="2:26"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</row>
    <row r="66" spans="2:26"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</row>
    <row r="67" spans="2:26"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</row>
    <row r="68" spans="2:26"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</row>
    <row r="69" spans="2:26"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</row>
    <row r="70" spans="2:26"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</row>
    <row r="71" spans="2:26"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</row>
    <row r="72" spans="2:26"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</row>
    <row r="73" spans="2:26"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spans="2:26"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</row>
    <row r="75" spans="2:26"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</row>
    <row r="76" spans="2:26"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</row>
    <row r="77" spans="2:26"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</row>
    <row r="78" spans="2:26"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</row>
    <row r="79" spans="2:26"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</row>
    <row r="80" spans="2:26"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spans="2:26"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spans="2:26"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</row>
    <row r="83" spans="2:26"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</row>
    <row r="84" spans="2:26"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</row>
    <row r="85" spans="2:26"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</row>
    <row r="86" spans="2:26"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</row>
    <row r="87" spans="2:26"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spans="2:26"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</row>
    <row r="89" spans="2:26"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</row>
    <row r="90" spans="2:26"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</row>
    <row r="91" spans="2:26"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</row>
    <row r="92" spans="2:26"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</row>
    <row r="93" spans="2:26"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spans="2:26"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</row>
    <row r="95" spans="2:26"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</row>
    <row r="96" spans="2:26"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</row>
    <row r="97" spans="2:26"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</row>
    <row r="98" spans="2:26"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</row>
    <row r="99" spans="2:26"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spans="2:26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</row>
    <row r="101" spans="2:26"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</row>
    <row r="102" spans="2:26"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</row>
    <row r="103" spans="2:26"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</row>
    <row r="104" spans="2:26"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</row>
    <row r="105" spans="2:26"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</row>
    <row r="106" spans="2:26"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</row>
    <row r="107" spans="2:26"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spans="2:26"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</row>
    <row r="109" spans="2:26"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</row>
    <row r="110" spans="2:26"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</row>
    <row r="111" spans="2:26"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</row>
    <row r="112" spans="2:26"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</row>
    <row r="113" spans="2:26"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</row>
    <row r="114" spans="2:26"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</row>
    <row r="115" spans="2:26"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</row>
    <row r="116" spans="2:26"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</row>
    <row r="117" spans="2:26"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</row>
    <row r="118" spans="2:26"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</row>
    <row r="119" spans="2:26"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</row>
    <row r="120" spans="2:26"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</row>
    <row r="121" spans="2:26"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</row>
    <row r="122" spans="2:26"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</row>
    <row r="123" spans="2:26"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</row>
    <row r="124" spans="2:26"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</row>
    <row r="125" spans="2:26"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</row>
    <row r="126" spans="2:26"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</row>
    <row r="127" spans="2:26"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</row>
    <row r="128" spans="2:26"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</row>
    <row r="129" spans="2:26"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</row>
    <row r="130" spans="2:26"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</row>
    <row r="131" spans="2:26"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</row>
    <row r="132" spans="2:26"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</row>
    <row r="133" spans="2:26"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</row>
    <row r="134" spans="2:26"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</row>
    <row r="135" spans="2:26"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</row>
    <row r="136" spans="2:26"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</row>
    <row r="137" spans="2:26"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</row>
    <row r="138" spans="2:26"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</row>
    <row r="139" spans="2:26"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</row>
    <row r="140" spans="2:26"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</row>
    <row r="141" spans="2:26"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</row>
    <row r="142" spans="2:26"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</row>
    <row r="143" spans="2:26"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</row>
    <row r="144" spans="2:26"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</row>
    <row r="145" spans="2:26"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</row>
    <row r="146" spans="2:26"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</row>
    <row r="147" spans="2:26"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</row>
    <row r="148" spans="2:26"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</row>
    <row r="149" spans="2:26"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</row>
    <row r="150" spans="2:26"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</row>
    <row r="151" spans="2:26"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</row>
    <row r="152" spans="2:26"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</row>
    <row r="153" spans="2:26"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</row>
    <row r="154" spans="2:26"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</row>
    <row r="155" spans="2:26"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</row>
    <row r="156" spans="2:26"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</row>
    <row r="157" spans="2:26"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</row>
    <row r="158" spans="2:26"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</row>
    <row r="159" spans="2:26"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</row>
    <row r="160" spans="2:26"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</row>
    <row r="161" spans="2:26"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</row>
    <row r="162" spans="2:26"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</row>
    <row r="163" spans="2:26"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</row>
    <row r="164" spans="2:26"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</row>
    <row r="165" spans="2:26"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</row>
    <row r="166" spans="2:26"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</row>
    <row r="167" spans="2:26"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</row>
    <row r="168" spans="2:26"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</row>
    <row r="169" spans="2:26"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</row>
    <row r="170" spans="2:26"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</row>
    <row r="171" spans="2:26"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</row>
    <row r="172" spans="2:26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</row>
    <row r="173" spans="2:26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</row>
    <row r="174" spans="2:26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</row>
    <row r="175" spans="2:26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</row>
    <row r="176" spans="2:26"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</row>
    <row r="177" spans="2:26"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</row>
    <row r="178" spans="2:26"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</row>
    <row r="179" spans="2:26"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</row>
    <row r="180" spans="2:26"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</row>
    <row r="181" spans="2:26"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</row>
    <row r="182" spans="2:26"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</row>
    <row r="183" spans="2:26"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</row>
    <row r="184" spans="2:26"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</row>
    <row r="185" spans="2:26"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</row>
    <row r="186" spans="2:26"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</row>
    <row r="187" spans="2:26"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</row>
    <row r="188" spans="2:26"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</row>
    <row r="189" spans="2:26"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</row>
    <row r="190" spans="2:26"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</row>
    <row r="191" spans="2:26"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</row>
    <row r="192" spans="2:26"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</row>
    <row r="193" spans="2:26"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</row>
    <row r="194" spans="2:26"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</row>
    <row r="195" spans="2:26"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</row>
    <row r="196" spans="2:26"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</row>
    <row r="197" spans="2:26"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</row>
    <row r="198" spans="2:26"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</row>
    <row r="199" spans="2:26"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</row>
    <row r="200" spans="2:26"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</row>
    <row r="201" spans="2:26"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</row>
    <row r="202" spans="2:26"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</row>
    <row r="203" spans="2:26"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</row>
    <row r="204" spans="2:26"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</row>
    <row r="205" spans="2:26"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</row>
    <row r="206" spans="2:26"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</row>
    <row r="207" spans="2:26"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</row>
    <row r="208" spans="2:26"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</row>
    <row r="209" spans="2:26"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</row>
    <row r="210" spans="2:26"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</row>
    <row r="211" spans="2:26"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</row>
    <row r="212" spans="2:26"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</row>
    <row r="213" spans="2:26"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</row>
    <row r="214" spans="2:26"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</row>
    <row r="215" spans="2:26"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</row>
    <row r="216" spans="2:26"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</row>
    <row r="217" spans="2:26"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</row>
    <row r="218" spans="2:26"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</row>
    <row r="219" spans="2:26"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</row>
    <row r="220" spans="2:26"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</row>
    <row r="221" spans="2:26"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</row>
    <row r="222" spans="2:26"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</row>
    <row r="223" spans="2:26"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</row>
    <row r="224" spans="2:26"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</row>
    <row r="225" spans="2:26"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</row>
    <row r="226" spans="2:26"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</row>
    <row r="227" spans="2:26"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</row>
    <row r="228" spans="2:26"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</row>
    <row r="229" spans="2:26"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</row>
    <row r="230" spans="2:26"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</row>
    <row r="231" spans="2:26"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</row>
    <row r="232" spans="2:26"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</row>
    <row r="233" spans="2:26"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</row>
    <row r="234" spans="2:26"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</row>
    <row r="235" spans="2:26"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</row>
    <row r="236" spans="2:26"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</row>
    <row r="237" spans="2:26"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</row>
    <row r="238" spans="2:26"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</row>
    <row r="239" spans="2:26"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</row>
    <row r="240" spans="2:26"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</row>
    <row r="241" spans="2:26"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</row>
    <row r="242" spans="2:26"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</row>
    <row r="243" spans="2:26"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</row>
    <row r="244" spans="2:26"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</row>
    <row r="245" spans="2:26"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</row>
    <row r="246" spans="2:26"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</row>
    <row r="247" spans="2:26"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</row>
    <row r="248" spans="2:26"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</row>
    <row r="249" spans="2:26"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</row>
    <row r="250" spans="2:26"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</row>
    <row r="251" spans="2:26"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</row>
    <row r="252" spans="2:26"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</row>
    <row r="253" spans="2:26"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</row>
    <row r="254" spans="2:26"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</row>
    <row r="255" spans="2:26"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</row>
    <row r="256" spans="2:26"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</row>
    <row r="257" spans="2:26"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</row>
    <row r="258" spans="2:26"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</row>
    <row r="259" spans="2:26"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</row>
    <row r="260" spans="2:26"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</row>
    <row r="261" spans="2:26"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</row>
    <row r="262" spans="2:26"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</row>
    <row r="263" spans="2:26"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</row>
    <row r="264" spans="2:26"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</row>
    <row r="265" spans="2:26"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</row>
    <row r="266" spans="2:26"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</row>
    <row r="267" spans="2:26"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</row>
    <row r="268" spans="2:26"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</row>
    <row r="269" spans="2:26"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</row>
    <row r="270" spans="2:26"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</row>
    <row r="271" spans="2:26"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</row>
    <row r="272" spans="2:26"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</row>
    <row r="273" spans="2:26"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</row>
    <row r="274" spans="2:26"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</row>
    <row r="275" spans="2:26"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</row>
    <row r="276" spans="2:26"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</row>
    <row r="277" spans="2:26"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</row>
    <row r="278" spans="2:26"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</row>
  </sheetData>
  <mergeCells count="142">
    <mergeCell ref="B42:B46"/>
    <mergeCell ref="C42:F46"/>
    <mergeCell ref="C47:F51"/>
    <mergeCell ref="C54:F55"/>
    <mergeCell ref="C52:F53"/>
    <mergeCell ref="B37:B41"/>
    <mergeCell ref="B47:B51"/>
    <mergeCell ref="U4:Y5"/>
    <mergeCell ref="U3:Y3"/>
    <mergeCell ref="K3:M3"/>
    <mergeCell ref="K4:M4"/>
    <mergeCell ref="K5:M5"/>
    <mergeCell ref="G26:I26"/>
    <mergeCell ref="O43:R43"/>
    <mergeCell ref="W8:Z9"/>
    <mergeCell ref="K23:M23"/>
    <mergeCell ref="K24:L24"/>
    <mergeCell ref="K25:M25"/>
    <mergeCell ref="G50:J50"/>
    <mergeCell ref="K50:N50"/>
    <mergeCell ref="O50:R50"/>
    <mergeCell ref="G43:J43"/>
    <mergeCell ref="O38:R38"/>
    <mergeCell ref="C27:F29"/>
    <mergeCell ref="C32:F34"/>
    <mergeCell ref="C37:F41"/>
    <mergeCell ref="K43:N43"/>
    <mergeCell ref="S23:U23"/>
    <mergeCell ref="S24:T24"/>
    <mergeCell ref="S25:U25"/>
    <mergeCell ref="B60:Z64"/>
    <mergeCell ref="W36:Z36"/>
    <mergeCell ref="W43:Z43"/>
    <mergeCell ref="W44:Z44"/>
    <mergeCell ref="W10:Z10"/>
    <mergeCell ref="W20:Z20"/>
    <mergeCell ref="W21:Z21"/>
    <mergeCell ref="W11:Z11"/>
    <mergeCell ref="W12:Z12"/>
    <mergeCell ref="W13:Z13"/>
    <mergeCell ref="W14:Z14"/>
    <mergeCell ref="W15:Z15"/>
    <mergeCell ref="W16:Z16"/>
    <mergeCell ref="W17:Z17"/>
    <mergeCell ref="W18:Z18"/>
    <mergeCell ref="W19:Z19"/>
    <mergeCell ref="S26:U26"/>
    <mergeCell ref="S38:V38"/>
    <mergeCell ref="C56:F57"/>
    <mergeCell ref="C58:F59"/>
    <mergeCell ref="B52:B59"/>
    <mergeCell ref="O20:Q20"/>
    <mergeCell ref="O21:P21"/>
    <mergeCell ref="O22:Q22"/>
    <mergeCell ref="K22:M22"/>
    <mergeCell ref="B27:B29"/>
    <mergeCell ref="O23:Q23"/>
    <mergeCell ref="O24:P24"/>
    <mergeCell ref="O25:Q25"/>
    <mergeCell ref="O26:Q26"/>
    <mergeCell ref="K26:M26"/>
    <mergeCell ref="B36:E36"/>
    <mergeCell ref="G40:J40"/>
    <mergeCell ref="K40:N40"/>
    <mergeCell ref="O40:R40"/>
    <mergeCell ref="S40:V40"/>
    <mergeCell ref="V8:V9"/>
    <mergeCell ref="T8:U9"/>
    <mergeCell ref="S8:S9"/>
    <mergeCell ref="S18:T18"/>
    <mergeCell ref="S19:U19"/>
    <mergeCell ref="S20:U20"/>
    <mergeCell ref="S21:T21"/>
    <mergeCell ref="S22:U22"/>
    <mergeCell ref="I8:R9"/>
    <mergeCell ref="B10:V10"/>
    <mergeCell ref="G18:H18"/>
    <mergeCell ref="G19:I19"/>
    <mergeCell ref="G20:I20"/>
    <mergeCell ref="G21:H21"/>
    <mergeCell ref="G22:I22"/>
    <mergeCell ref="G23:I23"/>
    <mergeCell ref="G24:H24"/>
    <mergeCell ref="G25:I25"/>
    <mergeCell ref="K18:L18"/>
    <mergeCell ref="S50:V50"/>
    <mergeCell ref="S48:V48"/>
    <mergeCell ref="G45:J45"/>
    <mergeCell ref="K45:N45"/>
    <mergeCell ref="O45:R45"/>
    <mergeCell ref="S45:V45"/>
    <mergeCell ref="G48:J48"/>
    <mergeCell ref="K48:N48"/>
    <mergeCell ref="O48:R48"/>
    <mergeCell ref="W37:X38"/>
    <mergeCell ref="W39:X40"/>
    <mergeCell ref="W41:X42"/>
    <mergeCell ref="W45:Z59"/>
    <mergeCell ref="S43:V43"/>
    <mergeCell ref="B12:F12"/>
    <mergeCell ref="B11:F11"/>
    <mergeCell ref="B13:F15"/>
    <mergeCell ref="B16:F16"/>
    <mergeCell ref="B17:F17"/>
    <mergeCell ref="B18:F26"/>
    <mergeCell ref="K13:N15"/>
    <mergeCell ref="O13:R15"/>
    <mergeCell ref="S13:V15"/>
    <mergeCell ref="G33:J33"/>
    <mergeCell ref="K33:N33"/>
    <mergeCell ref="O33:R33"/>
    <mergeCell ref="G35:J35"/>
    <mergeCell ref="K35:N35"/>
    <mergeCell ref="O35:R35"/>
    <mergeCell ref="S35:V35"/>
    <mergeCell ref="G38:J38"/>
    <mergeCell ref="K38:N38"/>
    <mergeCell ref="W22:X23"/>
    <mergeCell ref="W24:Z24"/>
    <mergeCell ref="W25:Z25"/>
    <mergeCell ref="W26:Z26"/>
    <mergeCell ref="W27:Z27"/>
    <mergeCell ref="W28:X29"/>
    <mergeCell ref="W30:X31"/>
    <mergeCell ref="W32:X33"/>
    <mergeCell ref="W34:Z35"/>
    <mergeCell ref="B8:H9"/>
    <mergeCell ref="S33:V33"/>
    <mergeCell ref="B30:E30"/>
    <mergeCell ref="B31:E31"/>
    <mergeCell ref="B32:B34"/>
    <mergeCell ref="B35:E35"/>
    <mergeCell ref="K19:M19"/>
    <mergeCell ref="K20:M20"/>
    <mergeCell ref="K21:L21"/>
    <mergeCell ref="G11:J11"/>
    <mergeCell ref="K11:N11"/>
    <mergeCell ref="O11:R11"/>
    <mergeCell ref="S11:V11"/>
    <mergeCell ref="G13:J15"/>
    <mergeCell ref="O18:P18"/>
    <mergeCell ref="O19:Q19"/>
  </mergeCells>
  <dataValidations count="1">
    <dataValidation type="list" allowBlank="1" showInputMessage="1" showErrorMessage="1" sqref="B31:E31 B36:E36" xr:uid="{C0ADA517-3DDD-46D5-96E5-64CA256A81D2}">
      <formula1>$N$3:$T$3</formula1>
    </dataValidation>
  </dataValidations>
  <pageMargins left="0.25" right="0.25" top="0.75" bottom="0.75" header="0.3" footer="0.3"/>
  <pageSetup paperSize="3" scale="6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Printall_Click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4</xdr:col>
                    <xdr:colOff>257175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uttonPreview_Click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4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AF7FE2-4F75-41C4-B5FF-021370627754}">
          <x14:formula1>
            <xm:f>_members!$A$2:$A$35</xm:f>
          </x14:formula1>
          <xm:sqref>I8:R9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8A0ED-F5F4-4A03-B73F-4CB27E6DCFBC}">
  <sheetPr codeName="Sheet5"/>
  <dimension ref="A2:AB278"/>
  <sheetViews>
    <sheetView tabSelected="1" zoomScale="85" zoomScaleNormal="85" workbookViewId="0">
      <selection activeCell="AA5" sqref="AA5"/>
    </sheetView>
  </sheetViews>
  <sheetFormatPr defaultRowHeight="15"/>
  <cols>
    <col min="1" max="1" width="5.5703125" customWidth="1"/>
    <col min="2" max="3" width="5.28515625" customWidth="1"/>
    <col min="4" max="4" width="5.85546875" customWidth="1"/>
    <col min="5" max="5" width="4" customWidth="1"/>
    <col min="6" max="6" width="5.7109375" bestFit="1" customWidth="1"/>
    <col min="7" max="7" width="5.85546875" customWidth="1"/>
    <col min="8" max="8" width="6" customWidth="1"/>
    <col min="9" max="9" width="4.7109375" customWidth="1"/>
    <col min="10" max="10" width="5.28515625" bestFit="1" customWidth="1"/>
    <col min="11" max="11" width="4.7109375" bestFit="1" customWidth="1"/>
    <col min="12" max="12" width="6" customWidth="1"/>
    <col min="13" max="13" width="5.85546875" customWidth="1"/>
    <col min="14" max="14" width="5.28515625" bestFit="1" customWidth="1"/>
    <col min="15" max="15" width="4.7109375" bestFit="1" customWidth="1"/>
    <col min="16" max="16" width="5.85546875" customWidth="1"/>
    <col min="17" max="17" width="5.7109375" customWidth="1"/>
    <col min="18" max="18" width="5.28515625" customWidth="1"/>
    <col min="19" max="19" width="4.7109375" bestFit="1" customWidth="1"/>
    <col min="20" max="20" width="6.140625" customWidth="1"/>
    <col min="21" max="21" width="6" customWidth="1"/>
    <col min="22" max="22" width="5.28515625" bestFit="1" customWidth="1"/>
    <col min="23" max="23" width="11.7109375" customWidth="1"/>
    <col min="24" max="24" width="5.7109375" customWidth="1"/>
    <col min="25" max="25" width="7" customWidth="1"/>
    <col min="26" max="26" width="6.7109375" bestFit="1" customWidth="1"/>
  </cols>
  <sheetData>
    <row r="2" spans="2:26" ht="14.45" customHeight="1" thickBot="1">
      <c r="B2" s="96"/>
      <c r="C2" s="96"/>
      <c r="D2" s="96"/>
      <c r="F2" s="82"/>
      <c r="G2" s="82"/>
      <c r="H2" s="82"/>
      <c r="I2" s="82"/>
      <c r="J2" s="82"/>
      <c r="K2" s="82"/>
      <c r="L2" s="82"/>
      <c r="M2" s="82"/>
      <c r="N2" s="144"/>
      <c r="O2" s="82"/>
      <c r="P2" s="82"/>
      <c r="Q2" s="82"/>
      <c r="R2" s="82"/>
      <c r="T2" s="81"/>
      <c r="U2" s="81"/>
      <c r="V2" s="81"/>
    </row>
    <row r="3" spans="2:26" ht="14.45" customHeight="1" thickBot="1">
      <c r="B3" s="96"/>
      <c r="C3" s="96"/>
      <c r="D3" s="96"/>
      <c r="F3" s="82"/>
      <c r="G3" s="82"/>
      <c r="H3" s="82"/>
      <c r="I3" s="82"/>
      <c r="J3" s="82"/>
      <c r="K3" s="326" t="s">
        <v>183</v>
      </c>
      <c r="L3" s="326"/>
      <c r="M3" s="327"/>
      <c r="N3" s="85" t="s">
        <v>184</v>
      </c>
      <c r="O3" s="86" t="s">
        <v>185</v>
      </c>
      <c r="P3" s="86" t="s">
        <v>186</v>
      </c>
      <c r="Q3" s="86" t="s">
        <v>187</v>
      </c>
      <c r="R3" s="86" t="s">
        <v>188</v>
      </c>
      <c r="S3" s="86" t="s">
        <v>189</v>
      </c>
      <c r="T3" s="86" t="s">
        <v>190</v>
      </c>
      <c r="U3" s="323" t="s">
        <v>2</v>
      </c>
      <c r="V3" s="324"/>
      <c r="W3" s="324"/>
      <c r="X3" s="324"/>
      <c r="Y3" s="325"/>
    </row>
    <row r="4" spans="2:26" ht="14.45" customHeight="1">
      <c r="B4" s="96"/>
      <c r="C4" s="96"/>
      <c r="D4" s="96"/>
      <c r="F4" s="82"/>
      <c r="G4" s="82"/>
      <c r="H4" s="82"/>
      <c r="I4" s="82"/>
      <c r="J4" s="82"/>
      <c r="K4" s="326" t="s">
        <v>191</v>
      </c>
      <c r="L4" s="326"/>
      <c r="M4" s="327"/>
      <c r="N4" s="87">
        <f>VLOOKUP($I$8,MEMBERMAXES,2,FALSE)</f>
        <v>355</v>
      </c>
      <c r="O4" s="87">
        <f>VLOOKUP($I$8,MEMBERMAXES,3,FALSE)</f>
        <v>220</v>
      </c>
      <c r="P4" s="87">
        <f>VLOOKUP($I$8,MEMBERMAXES,4,FALSE)</f>
        <v>0</v>
      </c>
      <c r="Q4" s="87">
        <f>VLOOKUP($I$8,MEMBERMAXES,5,FALSE)</f>
        <v>0</v>
      </c>
      <c r="R4" s="87">
        <f>VLOOKUP($I$8,MEMBERMAXES,6,FALSE)</f>
        <v>0</v>
      </c>
      <c r="S4" s="87">
        <f>VLOOKUP($I$8,MEMBERMAXES,7,FALSE)</f>
        <v>0</v>
      </c>
      <c r="T4" s="87">
        <f>VLOOKUP($I$8,MEMBERMAXES,8,FALSE)</f>
        <v>300</v>
      </c>
      <c r="U4" s="317">
        <v>1</v>
      </c>
      <c r="V4" s="318"/>
      <c r="W4" s="318"/>
      <c r="X4" s="318"/>
      <c r="Y4" s="319"/>
    </row>
    <row r="5" spans="2:26" ht="14.45" customHeight="1" thickBot="1">
      <c r="B5" s="96"/>
      <c r="C5" s="96"/>
      <c r="D5" s="96"/>
      <c r="F5" s="82"/>
      <c r="G5" s="82"/>
      <c r="H5" s="82"/>
      <c r="I5" s="82"/>
      <c r="J5" s="82"/>
      <c r="K5" s="326" t="s">
        <v>192</v>
      </c>
      <c r="L5" s="326"/>
      <c r="M5" s="327"/>
      <c r="N5" s="88">
        <f t="shared" ref="N5:T5" si="0">N4*$U$4</f>
        <v>355</v>
      </c>
      <c r="O5" s="88">
        <f t="shared" si="0"/>
        <v>220</v>
      </c>
      <c r="P5" s="88">
        <f t="shared" si="0"/>
        <v>0</v>
      </c>
      <c r="Q5" s="88">
        <f t="shared" si="0"/>
        <v>0</v>
      </c>
      <c r="R5" s="88">
        <f t="shared" si="0"/>
        <v>0</v>
      </c>
      <c r="S5" s="88">
        <f t="shared" si="0"/>
        <v>0</v>
      </c>
      <c r="T5" s="88">
        <f t="shared" si="0"/>
        <v>300</v>
      </c>
      <c r="U5" s="320"/>
      <c r="V5" s="321"/>
      <c r="W5" s="321"/>
      <c r="X5" s="321"/>
      <c r="Y5" s="322"/>
    </row>
    <row r="6" spans="2:26" ht="14.45" customHeight="1">
      <c r="B6" s="96"/>
      <c r="C6" s="96"/>
      <c r="D6" s="96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T6" s="81"/>
      <c r="U6" s="81"/>
      <c r="V6" s="81"/>
    </row>
    <row r="7" spans="2:26" ht="14.45" customHeight="1" thickBot="1">
      <c r="B7" s="7"/>
      <c r="C7" s="7"/>
      <c r="D7" s="7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T7" s="6"/>
      <c r="U7" s="6"/>
      <c r="V7" s="6"/>
    </row>
    <row r="8" spans="2:26" ht="14.45" customHeight="1">
      <c r="B8" s="168" t="s">
        <v>194</v>
      </c>
      <c r="C8" s="169"/>
      <c r="D8" s="169"/>
      <c r="E8" s="169"/>
      <c r="F8" s="169"/>
      <c r="G8" s="169"/>
      <c r="H8" s="170"/>
      <c r="I8" s="252" t="s">
        <v>195</v>
      </c>
      <c r="J8" s="253"/>
      <c r="K8" s="253"/>
      <c r="L8" s="253"/>
      <c r="M8" s="253"/>
      <c r="N8" s="253"/>
      <c r="O8" s="253"/>
      <c r="P8" s="253"/>
      <c r="Q8" s="253"/>
      <c r="R8" s="254"/>
      <c r="S8" s="245" t="s">
        <v>167</v>
      </c>
      <c r="T8" s="241" t="s">
        <v>165</v>
      </c>
      <c r="U8" s="242"/>
      <c r="V8" s="239">
        <v>9</v>
      </c>
      <c r="W8" s="331" t="s">
        <v>166</v>
      </c>
      <c r="X8" s="332"/>
      <c r="Y8" s="332"/>
      <c r="Z8" s="333"/>
    </row>
    <row r="9" spans="2:26" ht="14.45" customHeight="1" thickBot="1">
      <c r="B9" s="171"/>
      <c r="C9" s="172"/>
      <c r="D9" s="172"/>
      <c r="E9" s="172"/>
      <c r="F9" s="172"/>
      <c r="G9" s="172"/>
      <c r="H9" s="173"/>
      <c r="I9" s="255"/>
      <c r="J9" s="256"/>
      <c r="K9" s="256"/>
      <c r="L9" s="256"/>
      <c r="M9" s="256"/>
      <c r="N9" s="256"/>
      <c r="O9" s="256"/>
      <c r="P9" s="256"/>
      <c r="Q9" s="256"/>
      <c r="R9" s="257"/>
      <c r="S9" s="246"/>
      <c r="T9" s="243"/>
      <c r="U9" s="244"/>
      <c r="V9" s="240"/>
      <c r="W9" s="334"/>
      <c r="X9" s="335"/>
      <c r="Y9" s="335"/>
      <c r="Z9" s="336"/>
    </row>
    <row r="10" spans="2:26" ht="14.45" customHeight="1" thickBot="1">
      <c r="B10" s="258" t="s">
        <v>12</v>
      </c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59"/>
      <c r="V10" s="260"/>
      <c r="W10" s="292"/>
      <c r="X10" s="293"/>
      <c r="Y10" s="293"/>
      <c r="Z10" s="294"/>
    </row>
    <row r="11" spans="2:26" ht="14.45" customHeight="1" thickBot="1">
      <c r="B11" s="193"/>
      <c r="C11" s="194"/>
      <c r="D11" s="194"/>
      <c r="E11" s="194"/>
      <c r="F11" s="195"/>
      <c r="G11" s="271" t="s">
        <v>4</v>
      </c>
      <c r="H11" s="272"/>
      <c r="I11" s="272"/>
      <c r="J11" s="273"/>
      <c r="K11" s="271" t="s">
        <v>5</v>
      </c>
      <c r="L11" s="272"/>
      <c r="M11" s="272"/>
      <c r="N11" s="273"/>
      <c r="O11" s="271" t="s">
        <v>6</v>
      </c>
      <c r="P11" s="272"/>
      <c r="Q11" s="272"/>
      <c r="R11" s="273"/>
      <c r="S11" s="271" t="s">
        <v>7</v>
      </c>
      <c r="T11" s="272"/>
      <c r="U11" s="272"/>
      <c r="V11" s="273"/>
      <c r="W11" s="301" t="s">
        <v>19</v>
      </c>
      <c r="X11" s="302"/>
      <c r="Y11" s="302"/>
      <c r="Z11" s="303"/>
    </row>
    <row r="12" spans="2:26" ht="14.45" customHeight="1" thickBot="1">
      <c r="B12" s="190"/>
      <c r="C12" s="191"/>
      <c r="D12" s="191"/>
      <c r="E12" s="191"/>
      <c r="F12" s="192"/>
      <c r="G12" s="5" t="s">
        <v>2</v>
      </c>
      <c r="H12" s="2" t="s">
        <v>3</v>
      </c>
      <c r="I12" s="3" t="s">
        <v>1</v>
      </c>
      <c r="J12" s="4" t="s">
        <v>0</v>
      </c>
      <c r="K12" s="1" t="s">
        <v>2</v>
      </c>
      <c r="L12" s="2" t="s">
        <v>3</v>
      </c>
      <c r="M12" s="3" t="s">
        <v>1</v>
      </c>
      <c r="N12" s="4" t="s">
        <v>0</v>
      </c>
      <c r="O12" s="1" t="s">
        <v>2</v>
      </c>
      <c r="P12" s="2" t="s">
        <v>3</v>
      </c>
      <c r="Q12" s="3" t="s">
        <v>1</v>
      </c>
      <c r="R12" s="4" t="s">
        <v>0</v>
      </c>
      <c r="S12" s="1" t="s">
        <v>2</v>
      </c>
      <c r="T12" s="2" t="s">
        <v>3</v>
      </c>
      <c r="U12" s="3" t="s">
        <v>1</v>
      </c>
      <c r="V12" s="4" t="s">
        <v>0</v>
      </c>
      <c r="W12" s="220" t="s">
        <v>118</v>
      </c>
      <c r="X12" s="221"/>
      <c r="Y12" s="221"/>
      <c r="Z12" s="222"/>
    </row>
    <row r="13" spans="2:26" ht="14.45" customHeight="1">
      <c r="B13" s="196" t="s">
        <v>201</v>
      </c>
      <c r="C13" s="197"/>
      <c r="D13" s="197"/>
      <c r="E13" s="197"/>
      <c r="F13" s="198"/>
      <c r="G13" s="220"/>
      <c r="H13" s="221"/>
      <c r="I13" s="221"/>
      <c r="J13" s="222"/>
      <c r="K13" s="220"/>
      <c r="L13" s="221"/>
      <c r="M13" s="221"/>
      <c r="N13" s="222"/>
      <c r="O13" s="220"/>
      <c r="P13" s="221"/>
      <c r="Q13" s="221"/>
      <c r="R13" s="222"/>
      <c r="S13" s="220"/>
      <c r="T13" s="221"/>
      <c r="U13" s="221"/>
      <c r="V13" s="222"/>
      <c r="W13" s="223" t="s">
        <v>119</v>
      </c>
      <c r="X13" s="224"/>
      <c r="Y13" s="224"/>
      <c r="Z13" s="225"/>
    </row>
    <row r="14" spans="2:26" ht="14.45" customHeight="1">
      <c r="B14" s="199"/>
      <c r="C14" s="200"/>
      <c r="D14" s="200"/>
      <c r="E14" s="200"/>
      <c r="F14" s="201"/>
      <c r="G14" s="223"/>
      <c r="H14" s="224"/>
      <c r="I14" s="224"/>
      <c r="J14" s="225"/>
      <c r="K14" s="223"/>
      <c r="L14" s="224"/>
      <c r="M14" s="224"/>
      <c r="N14" s="225"/>
      <c r="O14" s="223"/>
      <c r="P14" s="224"/>
      <c r="Q14" s="224"/>
      <c r="R14" s="225"/>
      <c r="S14" s="223"/>
      <c r="T14" s="224"/>
      <c r="U14" s="224"/>
      <c r="V14" s="225"/>
      <c r="W14" s="223" t="s">
        <v>120</v>
      </c>
      <c r="X14" s="224"/>
      <c r="Y14" s="224"/>
      <c r="Z14" s="225"/>
    </row>
    <row r="15" spans="2:26" ht="14.45" customHeight="1" thickBot="1">
      <c r="B15" s="202"/>
      <c r="C15" s="203"/>
      <c r="D15" s="203"/>
      <c r="E15" s="203"/>
      <c r="F15" s="204"/>
      <c r="G15" s="226"/>
      <c r="H15" s="227"/>
      <c r="I15" s="227"/>
      <c r="J15" s="228"/>
      <c r="K15" s="226"/>
      <c r="L15" s="227"/>
      <c r="M15" s="227"/>
      <c r="N15" s="228"/>
      <c r="O15" s="226"/>
      <c r="P15" s="227"/>
      <c r="Q15" s="227"/>
      <c r="R15" s="228"/>
      <c r="S15" s="226"/>
      <c r="T15" s="227"/>
      <c r="U15" s="227"/>
      <c r="V15" s="228"/>
      <c r="W15" s="223" t="s">
        <v>121</v>
      </c>
      <c r="X15" s="224"/>
      <c r="Y15" s="224"/>
      <c r="Z15" s="225"/>
    </row>
    <row r="16" spans="2:26" ht="14.45" customHeight="1">
      <c r="B16" s="446" t="s">
        <v>56</v>
      </c>
      <c r="C16" s="447"/>
      <c r="D16" s="447"/>
      <c r="E16" s="447"/>
      <c r="F16" s="448"/>
      <c r="G16" s="54"/>
      <c r="H16" s="61">
        <v>12</v>
      </c>
      <c r="I16" s="55" t="s">
        <v>13</v>
      </c>
      <c r="J16" s="56"/>
      <c r="K16" s="54"/>
      <c r="L16" s="61">
        <v>12</v>
      </c>
      <c r="M16" s="55" t="s">
        <v>13</v>
      </c>
      <c r="N16" s="56"/>
      <c r="O16" s="54"/>
      <c r="P16" s="61">
        <v>12</v>
      </c>
      <c r="Q16" s="55" t="s">
        <v>13</v>
      </c>
      <c r="R16" s="56"/>
      <c r="S16" s="54"/>
      <c r="T16" s="61">
        <v>12</v>
      </c>
      <c r="U16" s="55" t="s">
        <v>13</v>
      </c>
      <c r="V16" s="56"/>
      <c r="W16" s="223" t="s">
        <v>122</v>
      </c>
      <c r="X16" s="224"/>
      <c r="Y16" s="224"/>
      <c r="Z16" s="225"/>
    </row>
    <row r="17" spans="1:28" ht="14.45" customHeight="1" thickBot="1">
      <c r="B17" s="449" t="s">
        <v>57</v>
      </c>
      <c r="C17" s="450"/>
      <c r="D17" s="450"/>
      <c r="E17" s="450"/>
      <c r="F17" s="451"/>
      <c r="G17" s="24"/>
      <c r="H17" s="25" t="s">
        <v>58</v>
      </c>
      <c r="I17" s="22">
        <v>45</v>
      </c>
      <c r="J17" s="23"/>
      <c r="K17" s="24"/>
      <c r="L17" s="25" t="s">
        <v>58</v>
      </c>
      <c r="M17" s="22">
        <v>45</v>
      </c>
      <c r="N17" s="23"/>
      <c r="O17" s="24"/>
      <c r="P17" s="25" t="s">
        <v>58</v>
      </c>
      <c r="Q17" s="22">
        <v>45</v>
      </c>
      <c r="R17" s="23"/>
      <c r="S17" s="24"/>
      <c r="T17" s="25" t="s">
        <v>58</v>
      </c>
      <c r="U17" s="22">
        <v>45</v>
      </c>
      <c r="V17" s="23"/>
      <c r="W17" s="223" t="s">
        <v>123</v>
      </c>
      <c r="X17" s="224"/>
      <c r="Y17" s="224"/>
      <c r="Z17" s="225"/>
    </row>
    <row r="18" spans="1:28" ht="14.45" customHeight="1">
      <c r="B18" s="211" t="s">
        <v>182</v>
      </c>
      <c r="C18" s="212"/>
      <c r="D18" s="212"/>
      <c r="E18" s="212"/>
      <c r="F18" s="213"/>
      <c r="G18" s="261" t="s">
        <v>203</v>
      </c>
      <c r="H18" s="262"/>
      <c r="I18" s="109">
        <f>MROUND(F31*J18,5)</f>
        <v>90</v>
      </c>
      <c r="J18" s="98">
        <v>0.4</v>
      </c>
      <c r="K18" s="261" t="s">
        <v>203</v>
      </c>
      <c r="L18" s="262"/>
      <c r="M18" s="36">
        <f>MROUND(F31*N18,5)</f>
        <v>90</v>
      </c>
      <c r="N18" s="37">
        <v>0.4</v>
      </c>
      <c r="O18" s="261" t="s">
        <v>203</v>
      </c>
      <c r="P18" s="262"/>
      <c r="Q18" s="36">
        <f>MROUND(F31*R18,5)</f>
        <v>90</v>
      </c>
      <c r="R18" s="37">
        <v>0.4</v>
      </c>
      <c r="S18" s="261" t="s">
        <v>203</v>
      </c>
      <c r="T18" s="262"/>
      <c r="U18" s="36">
        <f>MROUND(F31*V18,5)</f>
        <v>90</v>
      </c>
      <c r="V18" s="37">
        <v>0.4</v>
      </c>
      <c r="W18" s="223" t="s">
        <v>124</v>
      </c>
      <c r="X18" s="224"/>
      <c r="Y18" s="224"/>
      <c r="Z18" s="225"/>
    </row>
    <row r="19" spans="1:28" ht="14.45" customHeight="1">
      <c r="B19" s="214"/>
      <c r="C19" s="215"/>
      <c r="D19" s="215"/>
      <c r="E19" s="215"/>
      <c r="F19" s="216"/>
      <c r="G19" s="249" t="s">
        <v>69</v>
      </c>
      <c r="H19" s="250"/>
      <c r="I19" s="251"/>
      <c r="J19" s="10">
        <v>12</v>
      </c>
      <c r="K19" s="249" t="s">
        <v>69</v>
      </c>
      <c r="L19" s="250"/>
      <c r="M19" s="251"/>
      <c r="N19" s="10">
        <v>12</v>
      </c>
      <c r="O19" s="249" t="s">
        <v>69</v>
      </c>
      <c r="P19" s="250"/>
      <c r="Q19" s="251"/>
      <c r="R19" s="10">
        <v>12</v>
      </c>
      <c r="S19" s="249" t="s">
        <v>69</v>
      </c>
      <c r="T19" s="250"/>
      <c r="U19" s="251"/>
      <c r="V19" s="10">
        <v>12</v>
      </c>
      <c r="W19" s="223" t="s">
        <v>100</v>
      </c>
      <c r="X19" s="224"/>
      <c r="Y19" s="224"/>
      <c r="Z19" s="225"/>
    </row>
    <row r="20" spans="1:28" ht="14.45" customHeight="1" thickBot="1">
      <c r="B20" s="214"/>
      <c r="C20" s="215"/>
      <c r="D20" s="215"/>
      <c r="E20" s="215"/>
      <c r="F20" s="216"/>
      <c r="G20" s="249" t="s">
        <v>71</v>
      </c>
      <c r="H20" s="250"/>
      <c r="I20" s="251"/>
      <c r="J20" s="10">
        <v>8</v>
      </c>
      <c r="K20" s="249" t="s">
        <v>71</v>
      </c>
      <c r="L20" s="250"/>
      <c r="M20" s="251"/>
      <c r="N20" s="10">
        <v>8</v>
      </c>
      <c r="O20" s="249" t="s">
        <v>71</v>
      </c>
      <c r="P20" s="250"/>
      <c r="Q20" s="251"/>
      <c r="R20" s="10">
        <v>8</v>
      </c>
      <c r="S20" s="249" t="s">
        <v>71</v>
      </c>
      <c r="T20" s="250"/>
      <c r="U20" s="251"/>
      <c r="V20" s="10">
        <v>8</v>
      </c>
      <c r="W20" s="223" t="s">
        <v>102</v>
      </c>
      <c r="X20" s="224"/>
      <c r="Y20" s="224"/>
      <c r="Z20" s="225"/>
    </row>
    <row r="21" spans="1:28" ht="14.45" customHeight="1" thickBot="1">
      <c r="B21" s="214"/>
      <c r="C21" s="215"/>
      <c r="D21" s="215"/>
      <c r="E21" s="215"/>
      <c r="F21" s="216"/>
      <c r="G21" s="261" t="s">
        <v>204</v>
      </c>
      <c r="H21" s="262"/>
      <c r="I21" s="97">
        <f>MROUND(F31*J21,5)</f>
        <v>110</v>
      </c>
      <c r="J21" s="98">
        <v>0.5</v>
      </c>
      <c r="K21" s="261" t="s">
        <v>204</v>
      </c>
      <c r="L21" s="262"/>
      <c r="M21" s="36">
        <f>MROUND(F31*N21,5)</f>
        <v>110</v>
      </c>
      <c r="N21" s="37">
        <v>0.5</v>
      </c>
      <c r="O21" s="261" t="s">
        <v>204</v>
      </c>
      <c r="P21" s="262"/>
      <c r="Q21" s="36">
        <f>MROUND(F31*R21,5)</f>
        <v>110</v>
      </c>
      <c r="R21" s="37">
        <v>0.5</v>
      </c>
      <c r="S21" s="261" t="s">
        <v>204</v>
      </c>
      <c r="T21" s="262"/>
      <c r="U21" s="36">
        <f>MROUND(F31*V21,5)</f>
        <v>110</v>
      </c>
      <c r="V21" s="37">
        <v>0.5</v>
      </c>
      <c r="W21" s="226" t="s">
        <v>125</v>
      </c>
      <c r="X21" s="227"/>
      <c r="Y21" s="227"/>
      <c r="Z21" s="228"/>
      <c r="AB21" s="9"/>
    </row>
    <row r="22" spans="1:28" ht="14.45" customHeight="1" thickBot="1">
      <c r="A22" t="s">
        <v>193</v>
      </c>
      <c r="B22" s="214"/>
      <c r="C22" s="215"/>
      <c r="D22" s="215"/>
      <c r="E22" s="215"/>
      <c r="F22" s="216"/>
      <c r="G22" s="249" t="s">
        <v>9</v>
      </c>
      <c r="H22" s="250"/>
      <c r="I22" s="251"/>
      <c r="J22" s="10">
        <v>20</v>
      </c>
      <c r="K22" s="249" t="s">
        <v>9</v>
      </c>
      <c r="L22" s="250"/>
      <c r="M22" s="251"/>
      <c r="N22" s="10">
        <v>20</v>
      </c>
      <c r="O22" s="249" t="s">
        <v>9</v>
      </c>
      <c r="P22" s="250"/>
      <c r="Q22" s="251"/>
      <c r="R22" s="10">
        <v>20</v>
      </c>
      <c r="S22" s="249" t="s">
        <v>9</v>
      </c>
      <c r="T22" s="250"/>
      <c r="U22" s="251"/>
      <c r="V22" s="10">
        <v>20</v>
      </c>
      <c r="W22" s="396" t="s">
        <v>104</v>
      </c>
      <c r="X22" s="397"/>
      <c r="Y22" s="397"/>
      <c r="Z22" s="398"/>
    </row>
    <row r="23" spans="1:28" ht="14.45" customHeight="1" thickBot="1">
      <c r="B23" s="214"/>
      <c r="C23" s="215"/>
      <c r="D23" s="215"/>
      <c r="E23" s="215"/>
      <c r="F23" s="216"/>
      <c r="G23" s="249" t="s">
        <v>71</v>
      </c>
      <c r="H23" s="250"/>
      <c r="I23" s="251"/>
      <c r="J23" s="10">
        <v>8</v>
      </c>
      <c r="K23" s="249" t="s">
        <v>71</v>
      </c>
      <c r="L23" s="250"/>
      <c r="M23" s="251"/>
      <c r="N23" s="10">
        <v>8</v>
      </c>
      <c r="O23" s="249" t="s">
        <v>71</v>
      </c>
      <c r="P23" s="250"/>
      <c r="Q23" s="251"/>
      <c r="R23" s="10">
        <v>8</v>
      </c>
      <c r="S23" s="249" t="s">
        <v>71</v>
      </c>
      <c r="T23" s="250"/>
      <c r="U23" s="251"/>
      <c r="V23" s="10">
        <v>8</v>
      </c>
      <c r="W23" s="399" t="s">
        <v>126</v>
      </c>
      <c r="X23" s="400"/>
      <c r="Y23" s="400"/>
      <c r="Z23" s="401"/>
    </row>
    <row r="24" spans="1:28" ht="14.45" customHeight="1" thickBot="1">
      <c r="B24" s="214"/>
      <c r="C24" s="215"/>
      <c r="D24" s="215"/>
      <c r="E24" s="215"/>
      <c r="F24" s="216"/>
      <c r="G24" s="269" t="s">
        <v>205</v>
      </c>
      <c r="H24" s="270"/>
      <c r="I24" s="97">
        <f>MROUND(F31*J24,5)</f>
        <v>130</v>
      </c>
      <c r="J24" s="98">
        <v>0.6</v>
      </c>
      <c r="K24" s="269" t="s">
        <v>205</v>
      </c>
      <c r="L24" s="270"/>
      <c r="M24" s="36">
        <f>MROUND(F31*N24,5)</f>
        <v>130</v>
      </c>
      <c r="N24" s="37">
        <v>0.6</v>
      </c>
      <c r="O24" s="269" t="s">
        <v>205</v>
      </c>
      <c r="P24" s="270"/>
      <c r="Q24" s="36">
        <f>MROUND(F31*R24,5)</f>
        <v>130</v>
      </c>
      <c r="R24" s="37">
        <v>0.6</v>
      </c>
      <c r="S24" s="269" t="s">
        <v>205</v>
      </c>
      <c r="T24" s="270"/>
      <c r="U24" s="36">
        <f>MROUND(F31*V24,5)</f>
        <v>130</v>
      </c>
      <c r="V24" s="37">
        <v>0.6</v>
      </c>
      <c r="W24" s="153" t="s">
        <v>127</v>
      </c>
      <c r="X24" s="154"/>
      <c r="Y24" s="63" t="s">
        <v>0</v>
      </c>
      <c r="Z24" s="63" t="s">
        <v>105</v>
      </c>
    </row>
    <row r="25" spans="1:28" ht="14.45" customHeight="1" thickBot="1">
      <c r="B25" s="214"/>
      <c r="C25" s="215"/>
      <c r="D25" s="215"/>
      <c r="E25" s="215"/>
      <c r="F25" s="216"/>
      <c r="G25" s="249" t="s">
        <v>70</v>
      </c>
      <c r="H25" s="250"/>
      <c r="I25" s="251"/>
      <c r="J25" s="10" t="s">
        <v>20</v>
      </c>
      <c r="K25" s="249" t="s">
        <v>70</v>
      </c>
      <c r="L25" s="250"/>
      <c r="M25" s="251"/>
      <c r="N25" s="10" t="s">
        <v>20</v>
      </c>
      <c r="O25" s="249" t="s">
        <v>70</v>
      </c>
      <c r="P25" s="250"/>
      <c r="Q25" s="251"/>
      <c r="R25" s="10" t="s">
        <v>20</v>
      </c>
      <c r="S25" s="249" t="s">
        <v>70</v>
      </c>
      <c r="T25" s="250"/>
      <c r="U25" s="251"/>
      <c r="V25" s="10" t="s">
        <v>20</v>
      </c>
      <c r="W25" s="229"/>
      <c r="X25" s="230"/>
      <c r="Y25" s="64">
        <v>2</v>
      </c>
      <c r="Z25" s="63" t="s">
        <v>79</v>
      </c>
    </row>
    <row r="26" spans="1:28" ht="14.45" customHeight="1" thickBot="1">
      <c r="B26" s="217"/>
      <c r="C26" s="218"/>
      <c r="D26" s="218"/>
      <c r="E26" s="218"/>
      <c r="F26" s="219"/>
      <c r="G26" s="277" t="s">
        <v>72</v>
      </c>
      <c r="H26" s="278"/>
      <c r="I26" s="279"/>
      <c r="J26" s="11">
        <v>20</v>
      </c>
      <c r="K26" s="277" t="s">
        <v>72</v>
      </c>
      <c r="L26" s="278"/>
      <c r="M26" s="279"/>
      <c r="N26" s="11">
        <v>20</v>
      </c>
      <c r="O26" s="277" t="s">
        <v>72</v>
      </c>
      <c r="P26" s="278"/>
      <c r="Q26" s="279"/>
      <c r="R26" s="11">
        <v>20</v>
      </c>
      <c r="S26" s="277" t="s">
        <v>72</v>
      </c>
      <c r="T26" s="278"/>
      <c r="U26" s="279"/>
      <c r="V26" s="11">
        <v>20</v>
      </c>
      <c r="W26" s="153" t="s">
        <v>128</v>
      </c>
      <c r="X26" s="154"/>
      <c r="Y26" s="63" t="s">
        <v>0</v>
      </c>
      <c r="Z26" s="63" t="s">
        <v>105</v>
      </c>
    </row>
    <row r="27" spans="1:28" ht="14.45" customHeight="1" thickBot="1">
      <c r="B27" s="274" t="s">
        <v>25</v>
      </c>
      <c r="C27" s="337" t="s">
        <v>28</v>
      </c>
      <c r="D27" s="338"/>
      <c r="E27" s="338"/>
      <c r="F27" s="339"/>
      <c r="G27" s="101">
        <v>0.65</v>
      </c>
      <c r="H27" s="102">
        <v>5</v>
      </c>
      <c r="I27" s="103">
        <f>MROUND(F31*G27,5)</f>
        <v>145</v>
      </c>
      <c r="J27" s="104"/>
      <c r="K27" s="89">
        <v>0.7</v>
      </c>
      <c r="L27" s="90">
        <v>3</v>
      </c>
      <c r="M27" s="90">
        <f>MROUND(F31*K27,5)</f>
        <v>155</v>
      </c>
      <c r="N27" s="91"/>
      <c r="O27" s="89">
        <v>0.75</v>
      </c>
      <c r="P27" s="90">
        <v>5</v>
      </c>
      <c r="Q27" s="90">
        <f>MROUND(F31*O27,5)</f>
        <v>165</v>
      </c>
      <c r="R27" s="91"/>
      <c r="S27" s="89">
        <v>0.65</v>
      </c>
      <c r="T27" s="90">
        <v>5</v>
      </c>
      <c r="U27" s="90">
        <f>MROUND(F31*S27,5)</f>
        <v>145</v>
      </c>
      <c r="V27" s="91"/>
      <c r="W27" s="155"/>
      <c r="X27" s="156"/>
      <c r="Y27" s="63" t="s">
        <v>129</v>
      </c>
      <c r="Z27" s="63" t="s">
        <v>58</v>
      </c>
    </row>
    <row r="28" spans="1:28" ht="14.45" customHeight="1" thickBot="1">
      <c r="B28" s="275"/>
      <c r="C28" s="340"/>
      <c r="D28" s="341"/>
      <c r="E28" s="341"/>
      <c r="F28" s="342"/>
      <c r="G28" s="101">
        <v>0.75</v>
      </c>
      <c r="H28" s="102">
        <v>5</v>
      </c>
      <c r="I28" s="103">
        <f>MROUND(F31*G28,5)</f>
        <v>165</v>
      </c>
      <c r="J28" s="105"/>
      <c r="K28" s="89">
        <v>0.8</v>
      </c>
      <c r="L28" s="90">
        <v>3</v>
      </c>
      <c r="M28" s="90">
        <f>MROUND(F31*K28,5)</f>
        <v>175</v>
      </c>
      <c r="N28" s="92"/>
      <c r="O28" s="89">
        <v>0.85</v>
      </c>
      <c r="P28" s="90">
        <v>3</v>
      </c>
      <c r="Q28" s="90">
        <f>MROUND(F31*O28,5)</f>
        <v>185</v>
      </c>
      <c r="R28" s="92"/>
      <c r="S28" s="89">
        <v>0.75</v>
      </c>
      <c r="T28" s="90">
        <v>5</v>
      </c>
      <c r="U28" s="90">
        <f>MROUND(F31*S28,5)</f>
        <v>165</v>
      </c>
      <c r="V28" s="92"/>
      <c r="W28" s="153" t="s">
        <v>130</v>
      </c>
      <c r="X28" s="154"/>
      <c r="Y28" s="63" t="s">
        <v>0</v>
      </c>
      <c r="Z28" s="63" t="s">
        <v>105</v>
      </c>
    </row>
    <row r="29" spans="1:28" ht="14.45" customHeight="1" thickBot="1">
      <c r="B29" s="276"/>
      <c r="C29" s="343"/>
      <c r="D29" s="344"/>
      <c r="E29" s="344"/>
      <c r="F29" s="345"/>
      <c r="G29" s="106">
        <v>0.85</v>
      </c>
      <c r="H29" s="107" t="s">
        <v>27</v>
      </c>
      <c r="I29" s="103">
        <f>MROUND(F31*G29,5)</f>
        <v>185</v>
      </c>
      <c r="J29" s="108"/>
      <c r="K29" s="93">
        <v>0.9</v>
      </c>
      <c r="L29" s="94" t="s">
        <v>34</v>
      </c>
      <c r="M29" s="90">
        <f>MROUND(F31*K29,5)</f>
        <v>200</v>
      </c>
      <c r="N29" s="95"/>
      <c r="O29" s="93">
        <v>0.95</v>
      </c>
      <c r="P29" s="94" t="s">
        <v>35</v>
      </c>
      <c r="Q29" s="94">
        <f>MROUND(F31*O29,5)</f>
        <v>210</v>
      </c>
      <c r="R29" s="95"/>
      <c r="S29" s="93">
        <v>0.85</v>
      </c>
      <c r="T29" s="94">
        <v>5</v>
      </c>
      <c r="U29" s="94">
        <f>MROUND(F31*S29,5)</f>
        <v>185</v>
      </c>
      <c r="V29" s="95"/>
      <c r="W29" s="155"/>
      <c r="X29" s="156"/>
      <c r="Y29" s="63" t="s">
        <v>129</v>
      </c>
      <c r="Z29" s="63" t="s">
        <v>58</v>
      </c>
    </row>
    <row r="30" spans="1:28" ht="14.45" customHeight="1" thickBot="1">
      <c r="B30" s="231" t="s">
        <v>33</v>
      </c>
      <c r="C30" s="232"/>
      <c r="D30" s="232"/>
      <c r="E30" s="233"/>
      <c r="F30" s="110">
        <v>1</v>
      </c>
      <c r="G30" s="111"/>
      <c r="H30" s="112"/>
      <c r="I30" s="103">
        <f>MROUND(F31*G30,5)</f>
        <v>0</v>
      </c>
      <c r="J30" s="113"/>
      <c r="K30" s="111"/>
      <c r="L30" s="112"/>
      <c r="M30" s="114">
        <f>MROUND(F31*K30,5)</f>
        <v>0</v>
      </c>
      <c r="N30" s="113"/>
      <c r="O30" s="111"/>
      <c r="P30" s="112"/>
      <c r="Q30" s="112">
        <f>MROUND(F31*O30,5)</f>
        <v>0</v>
      </c>
      <c r="R30" s="113"/>
      <c r="S30" s="111"/>
      <c r="T30" s="112"/>
      <c r="U30" s="112">
        <f>MROUND(F31*S30,5)</f>
        <v>0</v>
      </c>
      <c r="V30" s="113"/>
      <c r="W30" s="153" t="s">
        <v>131</v>
      </c>
      <c r="X30" s="154"/>
      <c r="Y30" s="63" t="s">
        <v>0</v>
      </c>
      <c r="Z30" s="63" t="s">
        <v>105</v>
      </c>
    </row>
    <row r="31" spans="1:28" ht="14.45" customHeight="1" thickBot="1">
      <c r="B31" s="234" t="s">
        <v>185</v>
      </c>
      <c r="C31" s="235"/>
      <c r="D31" s="235"/>
      <c r="E31" s="236"/>
      <c r="F31" s="116">
        <f>HLOOKUP(B31,$N$3:$T$4,2,FALSE)*F30</f>
        <v>220</v>
      </c>
      <c r="G31" s="117"/>
      <c r="H31" s="118"/>
      <c r="I31" s="103">
        <f>MROUND(F31*G31,5)</f>
        <v>0</v>
      </c>
      <c r="J31" s="119"/>
      <c r="K31" s="117"/>
      <c r="L31" s="118"/>
      <c r="M31" s="114">
        <f>MROUND(F31*K31,5)</f>
        <v>0</v>
      </c>
      <c r="N31" s="119"/>
      <c r="O31" s="117"/>
      <c r="P31" s="118"/>
      <c r="Q31" s="118">
        <f>MROUND(F31*O31,5)</f>
        <v>0</v>
      </c>
      <c r="R31" s="119"/>
      <c r="S31" s="117"/>
      <c r="T31" s="118"/>
      <c r="U31" s="118">
        <f>MROUND(F31*S31,5)</f>
        <v>0</v>
      </c>
      <c r="V31" s="119"/>
      <c r="W31" s="155"/>
      <c r="X31" s="156"/>
      <c r="Y31" s="63" t="s">
        <v>132</v>
      </c>
      <c r="Z31" s="63" t="s">
        <v>58</v>
      </c>
    </row>
    <row r="32" spans="1:28" ht="14.45" customHeight="1">
      <c r="B32" s="237" t="s">
        <v>26</v>
      </c>
      <c r="C32" s="346" t="s">
        <v>202</v>
      </c>
      <c r="D32" s="347"/>
      <c r="E32" s="347"/>
      <c r="F32" s="348"/>
      <c r="G32" s="120">
        <v>0.4</v>
      </c>
      <c r="H32" s="121">
        <v>4</v>
      </c>
      <c r="I32" s="121">
        <f>MROUND(F36*G32,5)</f>
        <v>140</v>
      </c>
      <c r="J32" s="122"/>
      <c r="K32" s="120">
        <v>0.4</v>
      </c>
      <c r="L32" s="121">
        <v>4</v>
      </c>
      <c r="M32" s="121">
        <f>MROUND(F36*K32,5)</f>
        <v>140</v>
      </c>
      <c r="N32" s="122"/>
      <c r="O32" s="120">
        <v>0.45</v>
      </c>
      <c r="P32" s="121">
        <v>4</v>
      </c>
      <c r="Q32" s="121">
        <f>MROUND(F36*O32,5)</f>
        <v>160</v>
      </c>
      <c r="R32" s="122"/>
      <c r="S32" s="120">
        <v>0.45</v>
      </c>
      <c r="T32" s="121">
        <v>4</v>
      </c>
      <c r="U32" s="121">
        <f>MROUND(F36*S32,5)</f>
        <v>160</v>
      </c>
      <c r="V32" s="122"/>
      <c r="W32" s="153" t="s">
        <v>133</v>
      </c>
      <c r="X32" s="402"/>
      <c r="Y32" s="402"/>
      <c r="Z32" s="154"/>
    </row>
    <row r="33" spans="2:26" ht="14.45" customHeight="1" thickBot="1">
      <c r="B33" s="238"/>
      <c r="C33" s="349"/>
      <c r="D33" s="350"/>
      <c r="E33" s="350"/>
      <c r="F33" s="351"/>
      <c r="G33" s="187" t="s">
        <v>42</v>
      </c>
      <c r="H33" s="188"/>
      <c r="I33" s="188"/>
      <c r="J33" s="189"/>
      <c r="K33" s="187" t="s">
        <v>42</v>
      </c>
      <c r="L33" s="188"/>
      <c r="M33" s="188"/>
      <c r="N33" s="189"/>
      <c r="O33" s="187" t="s">
        <v>42</v>
      </c>
      <c r="P33" s="188"/>
      <c r="Q33" s="188"/>
      <c r="R33" s="189"/>
      <c r="S33" s="187" t="s">
        <v>42</v>
      </c>
      <c r="T33" s="188"/>
      <c r="U33" s="188"/>
      <c r="V33" s="189"/>
      <c r="W33" s="155"/>
      <c r="X33" s="403"/>
      <c r="Y33" s="403"/>
      <c r="Z33" s="156"/>
    </row>
    <row r="34" spans="2:26" ht="14.45" customHeight="1" thickBot="1">
      <c r="B34" s="238"/>
      <c r="C34" s="352"/>
      <c r="D34" s="353"/>
      <c r="E34" s="353"/>
      <c r="F34" s="354"/>
      <c r="G34" s="123">
        <v>0.4</v>
      </c>
      <c r="H34" s="124">
        <v>4</v>
      </c>
      <c r="I34" s="124">
        <f>MROUND(F36*G34,5)</f>
        <v>140</v>
      </c>
      <c r="J34" s="125"/>
      <c r="K34" s="123">
        <v>0.4</v>
      </c>
      <c r="L34" s="124">
        <v>4</v>
      </c>
      <c r="M34" s="124">
        <f>MROUND(F36*K34,5)</f>
        <v>140</v>
      </c>
      <c r="N34" s="125"/>
      <c r="O34" s="123">
        <v>0.45</v>
      </c>
      <c r="P34" s="124">
        <v>4</v>
      </c>
      <c r="Q34" s="124">
        <f>MROUND(F36*O34,5)</f>
        <v>160</v>
      </c>
      <c r="R34" s="125"/>
      <c r="S34" s="123">
        <v>0.45</v>
      </c>
      <c r="T34" s="124">
        <v>4</v>
      </c>
      <c r="U34" s="124">
        <f>MROUND(F36*S34,5)</f>
        <v>160</v>
      </c>
      <c r="V34" s="125"/>
      <c r="W34" s="395" t="s">
        <v>113</v>
      </c>
      <c r="X34" s="154"/>
      <c r="Y34" s="63" t="s">
        <v>0</v>
      </c>
      <c r="Z34" s="63" t="s">
        <v>105</v>
      </c>
    </row>
    <row r="35" spans="2:26" ht="14.45" customHeight="1" thickBot="1">
      <c r="B35" s="231" t="s">
        <v>33</v>
      </c>
      <c r="C35" s="232"/>
      <c r="D35" s="232"/>
      <c r="E35" s="233"/>
      <c r="F35" s="110">
        <v>1</v>
      </c>
      <c r="G35" s="187" t="s">
        <v>43</v>
      </c>
      <c r="H35" s="188"/>
      <c r="I35" s="188"/>
      <c r="J35" s="189"/>
      <c r="K35" s="187" t="s">
        <v>43</v>
      </c>
      <c r="L35" s="188"/>
      <c r="M35" s="188"/>
      <c r="N35" s="189"/>
      <c r="O35" s="187" t="s">
        <v>43</v>
      </c>
      <c r="P35" s="188"/>
      <c r="Q35" s="188"/>
      <c r="R35" s="189"/>
      <c r="S35" s="187" t="s">
        <v>43</v>
      </c>
      <c r="T35" s="188"/>
      <c r="U35" s="188"/>
      <c r="V35" s="189"/>
      <c r="W35" s="155"/>
      <c r="X35" s="156"/>
      <c r="Y35" s="63">
        <v>10</v>
      </c>
      <c r="Z35" s="63" t="s">
        <v>79</v>
      </c>
    </row>
    <row r="36" spans="2:26" ht="14.45" customHeight="1" thickBot="1">
      <c r="B36" s="234" t="s">
        <v>184</v>
      </c>
      <c r="C36" s="235"/>
      <c r="D36" s="235"/>
      <c r="E36" s="236"/>
      <c r="F36" s="126">
        <f>HLOOKUP(B36,$N$3:$T$4,2,FALSE)*F35</f>
        <v>355</v>
      </c>
      <c r="G36" s="127">
        <v>0.4</v>
      </c>
      <c r="H36" s="128">
        <v>4</v>
      </c>
      <c r="I36" s="128">
        <f>MROUND(F36*G36,5)</f>
        <v>140</v>
      </c>
      <c r="J36" s="129"/>
      <c r="K36" s="127">
        <v>0.4</v>
      </c>
      <c r="L36" s="128">
        <v>4</v>
      </c>
      <c r="M36" s="128">
        <f>MROUND(F36*K36,5)</f>
        <v>140</v>
      </c>
      <c r="N36" s="129"/>
      <c r="O36" s="127">
        <v>0.45</v>
      </c>
      <c r="P36" s="128">
        <v>4</v>
      </c>
      <c r="Q36" s="128">
        <f>MROUND(F36*O36,5)</f>
        <v>160</v>
      </c>
      <c r="R36" s="129"/>
      <c r="S36" s="127">
        <v>0.45</v>
      </c>
      <c r="T36" s="128">
        <v>4</v>
      </c>
      <c r="U36" s="128">
        <f>MROUND(F36*S36,5)</f>
        <v>160</v>
      </c>
      <c r="V36" s="129"/>
      <c r="W36" s="389" t="s">
        <v>174</v>
      </c>
      <c r="X36" s="390"/>
      <c r="Y36" s="390"/>
      <c r="Z36" s="391"/>
    </row>
    <row r="37" spans="2:26" ht="14.45" customHeight="1" thickBot="1">
      <c r="B37" s="417" t="s">
        <v>48</v>
      </c>
      <c r="C37" s="437" t="s">
        <v>59</v>
      </c>
      <c r="D37" s="438"/>
      <c r="E37" s="438"/>
      <c r="F37" s="439"/>
      <c r="G37" s="26"/>
      <c r="H37" s="12">
        <v>6</v>
      </c>
      <c r="I37" s="12"/>
      <c r="J37" s="13"/>
      <c r="K37" s="26"/>
      <c r="L37" s="12">
        <v>6</v>
      </c>
      <c r="M37" s="12"/>
      <c r="N37" s="13"/>
      <c r="O37" s="26"/>
      <c r="P37" s="12">
        <v>5</v>
      </c>
      <c r="Q37" s="12"/>
      <c r="R37" s="13"/>
      <c r="S37" s="26"/>
      <c r="T37" s="12">
        <v>5</v>
      </c>
      <c r="U37" s="12"/>
      <c r="V37" s="13"/>
      <c r="W37" s="392"/>
      <c r="X37" s="393"/>
      <c r="Y37" s="393"/>
      <c r="Z37" s="394"/>
    </row>
    <row r="38" spans="2:26" ht="14.45" customHeight="1" thickBot="1">
      <c r="B38" s="418"/>
      <c r="C38" s="440"/>
      <c r="D38" s="441"/>
      <c r="E38" s="441"/>
      <c r="F38" s="442"/>
      <c r="G38" s="429" t="s">
        <v>60</v>
      </c>
      <c r="H38" s="430"/>
      <c r="I38" s="430"/>
      <c r="J38" s="431"/>
      <c r="K38" s="429" t="s">
        <v>60</v>
      </c>
      <c r="L38" s="430"/>
      <c r="M38" s="430"/>
      <c r="N38" s="431"/>
      <c r="O38" s="429" t="s">
        <v>60</v>
      </c>
      <c r="P38" s="430"/>
      <c r="Q38" s="430"/>
      <c r="R38" s="431"/>
      <c r="S38" s="429" t="s">
        <v>60</v>
      </c>
      <c r="T38" s="430"/>
      <c r="U38" s="430"/>
      <c r="V38" s="431"/>
      <c r="W38" s="147" t="s">
        <v>114</v>
      </c>
      <c r="X38" s="148"/>
      <c r="Y38" s="148"/>
      <c r="Z38" s="149"/>
    </row>
    <row r="39" spans="2:26" ht="14.45" customHeight="1" thickBot="1">
      <c r="B39" s="418"/>
      <c r="C39" s="440"/>
      <c r="D39" s="441"/>
      <c r="E39" s="441"/>
      <c r="F39" s="442"/>
      <c r="G39" s="27"/>
      <c r="H39" s="14">
        <v>6</v>
      </c>
      <c r="I39" s="14"/>
      <c r="J39" s="15"/>
      <c r="K39" s="27"/>
      <c r="L39" s="14">
        <v>6</v>
      </c>
      <c r="M39" s="14"/>
      <c r="N39" s="15"/>
      <c r="O39" s="27"/>
      <c r="P39" s="14">
        <v>5</v>
      </c>
      <c r="Q39" s="14"/>
      <c r="R39" s="15"/>
      <c r="S39" s="27"/>
      <c r="T39" s="14">
        <v>5</v>
      </c>
      <c r="U39" s="14"/>
      <c r="V39" s="15"/>
      <c r="W39" s="292" t="s">
        <v>134</v>
      </c>
      <c r="X39" s="293"/>
      <c r="Y39" s="293"/>
      <c r="Z39" s="294"/>
    </row>
    <row r="40" spans="2:26" ht="14.45" customHeight="1" thickBot="1">
      <c r="B40" s="418"/>
      <c r="C40" s="440"/>
      <c r="D40" s="441"/>
      <c r="E40" s="441"/>
      <c r="F40" s="442"/>
      <c r="G40" s="429" t="s">
        <v>60</v>
      </c>
      <c r="H40" s="430"/>
      <c r="I40" s="430"/>
      <c r="J40" s="431"/>
      <c r="K40" s="429" t="s">
        <v>60</v>
      </c>
      <c r="L40" s="430"/>
      <c r="M40" s="430"/>
      <c r="N40" s="431"/>
      <c r="O40" s="429" t="s">
        <v>60</v>
      </c>
      <c r="P40" s="430"/>
      <c r="Q40" s="430"/>
      <c r="R40" s="431"/>
      <c r="S40" s="429" t="s">
        <v>60</v>
      </c>
      <c r="T40" s="430"/>
      <c r="U40" s="430"/>
      <c r="V40" s="431"/>
      <c r="W40" s="395" t="s">
        <v>135</v>
      </c>
      <c r="X40" s="154"/>
      <c r="Y40" s="63" t="s">
        <v>0</v>
      </c>
      <c r="Z40" s="63" t="s">
        <v>105</v>
      </c>
    </row>
    <row r="41" spans="2:26" ht="14.45" customHeight="1" thickBot="1">
      <c r="B41" s="419"/>
      <c r="C41" s="443"/>
      <c r="D41" s="444"/>
      <c r="E41" s="444"/>
      <c r="F41" s="445"/>
      <c r="G41" s="28"/>
      <c r="H41" s="16">
        <v>6</v>
      </c>
      <c r="I41" s="16"/>
      <c r="J41" s="17"/>
      <c r="K41" s="28"/>
      <c r="L41" s="16">
        <v>6</v>
      </c>
      <c r="M41" s="16"/>
      <c r="N41" s="17"/>
      <c r="O41" s="28"/>
      <c r="P41" s="16">
        <v>5</v>
      </c>
      <c r="Q41" s="16"/>
      <c r="R41" s="17"/>
      <c r="S41" s="28"/>
      <c r="T41" s="16">
        <v>5</v>
      </c>
      <c r="U41" s="16"/>
      <c r="V41" s="17"/>
      <c r="W41" s="155"/>
      <c r="X41" s="156"/>
      <c r="Y41" s="63">
        <v>6</v>
      </c>
      <c r="Z41" s="63" t="s">
        <v>79</v>
      </c>
    </row>
    <row r="42" spans="2:26" ht="14.45" customHeight="1" thickBot="1">
      <c r="B42" s="417" t="s">
        <v>48</v>
      </c>
      <c r="C42" s="420" t="s">
        <v>61</v>
      </c>
      <c r="D42" s="421"/>
      <c r="E42" s="421"/>
      <c r="F42" s="422"/>
      <c r="G42" s="18"/>
      <c r="H42" s="12" t="s">
        <v>10</v>
      </c>
      <c r="I42" s="12"/>
      <c r="J42" s="13"/>
      <c r="K42" s="18"/>
      <c r="L42" s="12" t="s">
        <v>10</v>
      </c>
      <c r="M42" s="12"/>
      <c r="N42" s="13"/>
      <c r="O42" s="18"/>
      <c r="P42" s="12" t="s">
        <v>10</v>
      </c>
      <c r="Q42" s="12"/>
      <c r="R42" s="13"/>
      <c r="S42" s="18"/>
      <c r="T42" s="12" t="s">
        <v>10</v>
      </c>
      <c r="U42" s="12"/>
      <c r="V42" s="13"/>
      <c r="W42" s="395" t="s">
        <v>136</v>
      </c>
      <c r="X42" s="154"/>
      <c r="Y42" s="63" t="s">
        <v>0</v>
      </c>
      <c r="Z42" s="63" t="s">
        <v>105</v>
      </c>
    </row>
    <row r="43" spans="2:26" ht="14.45" customHeight="1" thickBot="1">
      <c r="B43" s="418"/>
      <c r="C43" s="423"/>
      <c r="D43" s="424"/>
      <c r="E43" s="424"/>
      <c r="F43" s="425"/>
      <c r="G43" s="429" t="s">
        <v>62</v>
      </c>
      <c r="H43" s="430"/>
      <c r="I43" s="430"/>
      <c r="J43" s="431"/>
      <c r="K43" s="429" t="s">
        <v>62</v>
      </c>
      <c r="L43" s="430"/>
      <c r="M43" s="430"/>
      <c r="N43" s="431"/>
      <c r="O43" s="429" t="s">
        <v>62</v>
      </c>
      <c r="P43" s="430"/>
      <c r="Q43" s="430"/>
      <c r="R43" s="431"/>
      <c r="S43" s="429" t="s">
        <v>62</v>
      </c>
      <c r="T43" s="430"/>
      <c r="U43" s="430"/>
      <c r="V43" s="431"/>
      <c r="W43" s="155"/>
      <c r="X43" s="156"/>
      <c r="Y43" s="63">
        <v>6</v>
      </c>
      <c r="Z43" s="63" t="s">
        <v>79</v>
      </c>
    </row>
    <row r="44" spans="2:26" ht="14.45" customHeight="1" thickBot="1">
      <c r="B44" s="418"/>
      <c r="C44" s="423"/>
      <c r="D44" s="424"/>
      <c r="E44" s="424"/>
      <c r="F44" s="425"/>
      <c r="G44" s="19"/>
      <c r="H44" s="14" t="s">
        <v>10</v>
      </c>
      <c r="I44" s="14"/>
      <c r="J44" s="15"/>
      <c r="K44" s="19"/>
      <c r="L44" s="14" t="s">
        <v>10</v>
      </c>
      <c r="M44" s="14"/>
      <c r="N44" s="15"/>
      <c r="O44" s="19"/>
      <c r="P44" s="14" t="s">
        <v>10</v>
      </c>
      <c r="Q44" s="14"/>
      <c r="R44" s="15"/>
      <c r="S44" s="19"/>
      <c r="T44" s="14" t="s">
        <v>10</v>
      </c>
      <c r="U44" s="14"/>
      <c r="V44" s="15"/>
      <c r="W44" s="373" t="s">
        <v>142</v>
      </c>
      <c r="X44" s="374"/>
      <c r="Y44" s="63" t="s">
        <v>0</v>
      </c>
      <c r="Z44" s="63" t="s">
        <v>105</v>
      </c>
    </row>
    <row r="45" spans="2:26" ht="14.45" customHeight="1" thickBot="1">
      <c r="B45" s="418"/>
      <c r="C45" s="423"/>
      <c r="D45" s="424"/>
      <c r="E45" s="424"/>
      <c r="F45" s="425"/>
      <c r="G45" s="429" t="s">
        <v>62</v>
      </c>
      <c r="H45" s="430"/>
      <c r="I45" s="430"/>
      <c r="J45" s="431"/>
      <c r="K45" s="429" t="s">
        <v>62</v>
      </c>
      <c r="L45" s="430"/>
      <c r="M45" s="430"/>
      <c r="N45" s="431"/>
      <c r="O45" s="429" t="s">
        <v>62</v>
      </c>
      <c r="P45" s="430"/>
      <c r="Q45" s="430"/>
      <c r="R45" s="431"/>
      <c r="S45" s="429" t="s">
        <v>62</v>
      </c>
      <c r="T45" s="430"/>
      <c r="U45" s="430"/>
      <c r="V45" s="431"/>
      <c r="W45" s="375"/>
      <c r="X45" s="376"/>
      <c r="Y45" s="63">
        <v>3</v>
      </c>
      <c r="Z45" s="63" t="s">
        <v>171</v>
      </c>
    </row>
    <row r="46" spans="2:26" ht="14.45" customHeight="1" thickBot="1">
      <c r="B46" s="419"/>
      <c r="C46" s="426"/>
      <c r="D46" s="427"/>
      <c r="E46" s="427"/>
      <c r="F46" s="428"/>
      <c r="G46" s="20"/>
      <c r="H46" s="16" t="s">
        <v>10</v>
      </c>
      <c r="I46" s="16"/>
      <c r="J46" s="17"/>
      <c r="K46" s="20"/>
      <c r="L46" s="16" t="s">
        <v>10</v>
      </c>
      <c r="M46" s="16"/>
      <c r="N46" s="17"/>
      <c r="O46" s="20"/>
      <c r="P46" s="16" t="s">
        <v>10</v>
      </c>
      <c r="Q46" s="16"/>
      <c r="R46" s="17"/>
      <c r="S46" s="20"/>
      <c r="T46" s="16" t="s">
        <v>10</v>
      </c>
      <c r="U46" s="16"/>
      <c r="V46" s="17"/>
      <c r="W46" s="373" t="s">
        <v>141</v>
      </c>
      <c r="X46" s="374"/>
      <c r="Y46" s="63" t="s">
        <v>0</v>
      </c>
      <c r="Z46" s="63" t="s">
        <v>105</v>
      </c>
    </row>
    <row r="47" spans="2:26" ht="14.45" customHeight="1" thickBot="1">
      <c r="B47" s="417" t="s">
        <v>48</v>
      </c>
      <c r="C47" s="420" t="s">
        <v>63</v>
      </c>
      <c r="D47" s="421"/>
      <c r="E47" s="421"/>
      <c r="F47" s="422"/>
      <c r="G47" s="18"/>
      <c r="H47" s="12">
        <v>8</v>
      </c>
      <c r="I47" s="12"/>
      <c r="J47" s="13"/>
      <c r="K47" s="18"/>
      <c r="L47" s="12">
        <v>8</v>
      </c>
      <c r="M47" s="12"/>
      <c r="N47" s="13"/>
      <c r="O47" s="18"/>
      <c r="P47" s="12">
        <v>8</v>
      </c>
      <c r="Q47" s="12"/>
      <c r="R47" s="13"/>
      <c r="S47" s="18"/>
      <c r="T47" s="12">
        <v>8</v>
      </c>
      <c r="U47" s="12"/>
      <c r="V47" s="13"/>
      <c r="W47" s="375"/>
      <c r="X47" s="376"/>
      <c r="Y47" s="63">
        <v>4</v>
      </c>
      <c r="Z47" s="63" t="s">
        <v>140</v>
      </c>
    </row>
    <row r="48" spans="2:26" ht="14.45" customHeight="1">
      <c r="B48" s="418"/>
      <c r="C48" s="423"/>
      <c r="D48" s="424"/>
      <c r="E48" s="424"/>
      <c r="F48" s="425"/>
      <c r="G48" s="429" t="s">
        <v>64</v>
      </c>
      <c r="H48" s="430"/>
      <c r="I48" s="430"/>
      <c r="J48" s="431"/>
      <c r="K48" s="429" t="s">
        <v>64</v>
      </c>
      <c r="L48" s="430"/>
      <c r="M48" s="430"/>
      <c r="N48" s="431"/>
      <c r="O48" s="429" t="s">
        <v>64</v>
      </c>
      <c r="P48" s="430"/>
      <c r="Q48" s="430"/>
      <c r="R48" s="431"/>
      <c r="S48" s="429" t="s">
        <v>64</v>
      </c>
      <c r="T48" s="430"/>
      <c r="U48" s="430"/>
      <c r="V48" s="431"/>
      <c r="W48" s="395" t="s">
        <v>139</v>
      </c>
      <c r="X48" s="432"/>
      <c r="Y48" s="432"/>
      <c r="Z48" s="433"/>
    </row>
    <row r="49" spans="2:26" ht="14.45" customHeight="1" thickBot="1">
      <c r="B49" s="418"/>
      <c r="C49" s="423"/>
      <c r="D49" s="424"/>
      <c r="E49" s="424"/>
      <c r="F49" s="425"/>
      <c r="G49" s="19"/>
      <c r="H49" s="14">
        <v>8</v>
      </c>
      <c r="I49" s="14"/>
      <c r="J49" s="15"/>
      <c r="K49" s="19"/>
      <c r="L49" s="14">
        <v>8</v>
      </c>
      <c r="M49" s="14"/>
      <c r="N49" s="15"/>
      <c r="O49" s="19"/>
      <c r="P49" s="14">
        <v>8</v>
      </c>
      <c r="Q49" s="14"/>
      <c r="R49" s="15"/>
      <c r="S49" s="19"/>
      <c r="T49" s="14">
        <v>8</v>
      </c>
      <c r="U49" s="14"/>
      <c r="V49" s="15"/>
      <c r="W49" s="434"/>
      <c r="X49" s="435"/>
      <c r="Y49" s="435"/>
      <c r="Z49" s="436"/>
    </row>
    <row r="50" spans="2:26" ht="14.45" customHeight="1" thickBot="1">
      <c r="B50" s="418"/>
      <c r="C50" s="423"/>
      <c r="D50" s="424"/>
      <c r="E50" s="424"/>
      <c r="F50" s="425"/>
      <c r="G50" s="429" t="s">
        <v>65</v>
      </c>
      <c r="H50" s="430"/>
      <c r="I50" s="430"/>
      <c r="J50" s="431"/>
      <c r="K50" s="429" t="s">
        <v>65</v>
      </c>
      <c r="L50" s="430"/>
      <c r="M50" s="430"/>
      <c r="N50" s="431"/>
      <c r="O50" s="429" t="s">
        <v>65</v>
      </c>
      <c r="P50" s="430"/>
      <c r="Q50" s="430"/>
      <c r="R50" s="431"/>
      <c r="S50" s="429" t="s">
        <v>65</v>
      </c>
      <c r="T50" s="430"/>
      <c r="U50" s="430"/>
      <c r="V50" s="431"/>
      <c r="W50" s="373" t="s">
        <v>138</v>
      </c>
      <c r="X50" s="374"/>
      <c r="Y50" s="63" t="s">
        <v>0</v>
      </c>
      <c r="Z50" s="63" t="s">
        <v>105</v>
      </c>
    </row>
    <row r="51" spans="2:26" ht="14.45" customHeight="1" thickBot="1">
      <c r="B51" s="419"/>
      <c r="C51" s="426"/>
      <c r="D51" s="427"/>
      <c r="E51" s="427"/>
      <c r="F51" s="428"/>
      <c r="G51" s="20"/>
      <c r="H51" s="16">
        <v>8</v>
      </c>
      <c r="I51" s="16"/>
      <c r="J51" s="17"/>
      <c r="K51" s="20"/>
      <c r="L51" s="16">
        <v>8</v>
      </c>
      <c r="M51" s="16"/>
      <c r="N51" s="17"/>
      <c r="O51" s="20"/>
      <c r="P51" s="16">
        <v>8</v>
      </c>
      <c r="Q51" s="16"/>
      <c r="R51" s="17"/>
      <c r="S51" s="20"/>
      <c r="T51" s="16">
        <v>8</v>
      </c>
      <c r="U51" s="16"/>
      <c r="V51" s="17"/>
      <c r="W51" s="375"/>
      <c r="X51" s="376"/>
      <c r="Y51" s="63">
        <v>12</v>
      </c>
      <c r="Z51" s="63" t="s">
        <v>137</v>
      </c>
    </row>
    <row r="52" spans="2:26" ht="14.45" customHeight="1" thickBot="1">
      <c r="B52" s="311" t="s">
        <v>11</v>
      </c>
      <c r="C52" s="404" t="s">
        <v>66</v>
      </c>
      <c r="D52" s="404"/>
      <c r="E52" s="404"/>
      <c r="F52" s="405"/>
      <c r="G52" s="134"/>
      <c r="H52" s="135">
        <v>8</v>
      </c>
      <c r="I52" s="136"/>
      <c r="J52" s="137"/>
      <c r="K52" s="134"/>
      <c r="L52" s="135">
        <v>8</v>
      </c>
      <c r="M52" s="136"/>
      <c r="N52" s="137"/>
      <c r="O52" s="134"/>
      <c r="P52" s="135">
        <v>8</v>
      </c>
      <c r="Q52" s="136"/>
      <c r="R52" s="137"/>
      <c r="S52" s="134"/>
      <c r="T52" s="135">
        <v>8</v>
      </c>
      <c r="U52" s="136"/>
      <c r="V52" s="137"/>
      <c r="W52" s="147" t="s">
        <v>117</v>
      </c>
      <c r="X52" s="148"/>
      <c r="Y52" s="148"/>
      <c r="Z52" s="149"/>
    </row>
    <row r="53" spans="2:26" ht="14.45" customHeight="1" thickBot="1">
      <c r="B53" s="312"/>
      <c r="C53" s="406"/>
      <c r="D53" s="406"/>
      <c r="E53" s="406"/>
      <c r="F53" s="407"/>
      <c r="G53" s="138"/>
      <c r="H53" s="139">
        <v>8</v>
      </c>
      <c r="I53" s="140"/>
      <c r="J53" s="141"/>
      <c r="K53" s="138"/>
      <c r="L53" s="139">
        <v>8</v>
      </c>
      <c r="M53" s="140"/>
      <c r="N53" s="141"/>
      <c r="O53" s="138"/>
      <c r="P53" s="139">
        <v>8</v>
      </c>
      <c r="Q53" s="140"/>
      <c r="R53" s="141"/>
      <c r="S53" s="138"/>
      <c r="T53" s="139">
        <v>8</v>
      </c>
      <c r="U53" s="140"/>
      <c r="V53" s="141"/>
      <c r="W53" s="377" t="s">
        <v>143</v>
      </c>
      <c r="X53" s="378"/>
      <c r="Y53" s="378"/>
      <c r="Z53" s="379"/>
    </row>
    <row r="54" spans="2:26" ht="14.45" customHeight="1">
      <c r="B54" s="312"/>
      <c r="C54" s="404" t="s">
        <v>67</v>
      </c>
      <c r="D54" s="404"/>
      <c r="E54" s="404"/>
      <c r="F54" s="405"/>
      <c r="G54" s="134"/>
      <c r="H54" s="135">
        <v>8</v>
      </c>
      <c r="I54" s="136"/>
      <c r="J54" s="137"/>
      <c r="K54" s="134"/>
      <c r="L54" s="135">
        <v>8</v>
      </c>
      <c r="M54" s="136"/>
      <c r="N54" s="137"/>
      <c r="O54" s="134"/>
      <c r="P54" s="135">
        <v>8</v>
      </c>
      <c r="Q54" s="136"/>
      <c r="R54" s="137"/>
      <c r="S54" s="134"/>
      <c r="T54" s="135">
        <v>8</v>
      </c>
      <c r="U54" s="136"/>
      <c r="V54" s="137"/>
      <c r="W54" s="380" t="s">
        <v>161</v>
      </c>
      <c r="X54" s="381"/>
      <c r="Y54" s="381"/>
      <c r="Z54" s="382"/>
    </row>
    <row r="55" spans="2:26" ht="14.45" customHeight="1" thickBot="1">
      <c r="B55" s="312"/>
      <c r="C55" s="406"/>
      <c r="D55" s="406"/>
      <c r="E55" s="406"/>
      <c r="F55" s="407"/>
      <c r="G55" s="138"/>
      <c r="H55" s="139">
        <v>8</v>
      </c>
      <c r="I55" s="140"/>
      <c r="J55" s="141"/>
      <c r="K55" s="138"/>
      <c r="L55" s="139">
        <v>8</v>
      </c>
      <c r="M55" s="140"/>
      <c r="N55" s="141"/>
      <c r="O55" s="138"/>
      <c r="P55" s="139">
        <v>8</v>
      </c>
      <c r="Q55" s="140"/>
      <c r="R55" s="141"/>
      <c r="S55" s="138"/>
      <c r="T55" s="139">
        <v>8</v>
      </c>
      <c r="U55" s="140"/>
      <c r="V55" s="141"/>
      <c r="W55" s="383"/>
      <c r="X55" s="384"/>
      <c r="Y55" s="384"/>
      <c r="Z55" s="385"/>
    </row>
    <row r="56" spans="2:26" ht="14.45" customHeight="1">
      <c r="B56" s="312"/>
      <c r="C56" s="404" t="s">
        <v>18</v>
      </c>
      <c r="D56" s="404"/>
      <c r="E56" s="404"/>
      <c r="F56" s="405"/>
      <c r="G56" s="134"/>
      <c r="H56" s="135">
        <v>8</v>
      </c>
      <c r="I56" s="136"/>
      <c r="J56" s="137"/>
      <c r="K56" s="134"/>
      <c r="L56" s="135">
        <v>8</v>
      </c>
      <c r="M56" s="136"/>
      <c r="N56" s="137"/>
      <c r="O56" s="134"/>
      <c r="P56" s="135">
        <v>8</v>
      </c>
      <c r="Q56" s="136"/>
      <c r="R56" s="137"/>
      <c r="S56" s="134"/>
      <c r="T56" s="135">
        <v>8</v>
      </c>
      <c r="U56" s="136"/>
      <c r="V56" s="137"/>
      <c r="W56" s="383"/>
      <c r="X56" s="384"/>
      <c r="Y56" s="384"/>
      <c r="Z56" s="385"/>
    </row>
    <row r="57" spans="2:26" ht="14.45" customHeight="1" thickBot="1">
      <c r="B57" s="312"/>
      <c r="C57" s="406"/>
      <c r="D57" s="406"/>
      <c r="E57" s="406"/>
      <c r="F57" s="407"/>
      <c r="G57" s="138"/>
      <c r="H57" s="139">
        <v>8</v>
      </c>
      <c r="I57" s="140"/>
      <c r="J57" s="141"/>
      <c r="K57" s="138"/>
      <c r="L57" s="139">
        <v>8</v>
      </c>
      <c r="M57" s="140"/>
      <c r="N57" s="141"/>
      <c r="O57" s="138"/>
      <c r="P57" s="139">
        <v>8</v>
      </c>
      <c r="Q57" s="140"/>
      <c r="R57" s="141"/>
      <c r="S57" s="138"/>
      <c r="T57" s="139">
        <v>8</v>
      </c>
      <c r="U57" s="140"/>
      <c r="V57" s="141"/>
      <c r="W57" s="383"/>
      <c r="X57" s="384"/>
      <c r="Y57" s="384"/>
      <c r="Z57" s="385"/>
    </row>
    <row r="58" spans="2:26" ht="14.45" customHeight="1">
      <c r="B58" s="312"/>
      <c r="C58" s="404" t="s">
        <v>68</v>
      </c>
      <c r="D58" s="404"/>
      <c r="E58" s="404"/>
      <c r="F58" s="405"/>
      <c r="G58" s="134"/>
      <c r="H58" s="135">
        <v>8</v>
      </c>
      <c r="I58" s="135"/>
      <c r="J58" s="137"/>
      <c r="K58" s="134"/>
      <c r="L58" s="135">
        <v>8</v>
      </c>
      <c r="M58" s="135"/>
      <c r="N58" s="137"/>
      <c r="O58" s="134"/>
      <c r="P58" s="135">
        <v>8</v>
      </c>
      <c r="Q58" s="135"/>
      <c r="R58" s="137"/>
      <c r="S58" s="134"/>
      <c r="T58" s="135">
        <v>8</v>
      </c>
      <c r="U58" s="135"/>
      <c r="V58" s="137"/>
      <c r="W58" s="383"/>
      <c r="X58" s="384"/>
      <c r="Y58" s="384"/>
      <c r="Z58" s="385"/>
    </row>
    <row r="59" spans="2:26" ht="14.45" customHeight="1" thickBot="1">
      <c r="B59" s="313"/>
      <c r="C59" s="406"/>
      <c r="D59" s="406"/>
      <c r="E59" s="406"/>
      <c r="F59" s="407"/>
      <c r="G59" s="142"/>
      <c r="H59" s="139">
        <v>8</v>
      </c>
      <c r="I59" s="139"/>
      <c r="J59" s="141"/>
      <c r="K59" s="142"/>
      <c r="L59" s="139">
        <v>8</v>
      </c>
      <c r="M59" s="139"/>
      <c r="N59" s="141"/>
      <c r="O59" s="142"/>
      <c r="P59" s="139">
        <v>8</v>
      </c>
      <c r="Q59" s="139"/>
      <c r="R59" s="141"/>
      <c r="S59" s="142"/>
      <c r="T59" s="139">
        <v>8</v>
      </c>
      <c r="U59" s="139"/>
      <c r="V59" s="141"/>
      <c r="W59" s="386"/>
      <c r="X59" s="387"/>
      <c r="Y59" s="387"/>
      <c r="Z59" s="388"/>
    </row>
    <row r="60" spans="2:26" ht="14.45" customHeight="1">
      <c r="B60" s="408" t="s">
        <v>95</v>
      </c>
      <c r="C60" s="409"/>
      <c r="D60" s="409"/>
      <c r="E60" s="409"/>
      <c r="F60" s="409"/>
      <c r="G60" s="409"/>
      <c r="H60" s="409"/>
      <c r="I60" s="409"/>
      <c r="J60" s="409"/>
      <c r="K60" s="409"/>
      <c r="L60" s="409"/>
      <c r="M60" s="409"/>
      <c r="N60" s="409"/>
      <c r="O60" s="409"/>
      <c r="P60" s="409"/>
      <c r="Q60" s="409"/>
      <c r="R60" s="409"/>
      <c r="S60" s="409"/>
      <c r="T60" s="409"/>
      <c r="U60" s="409"/>
      <c r="V60" s="409"/>
      <c r="W60" s="409"/>
      <c r="X60" s="409"/>
      <c r="Y60" s="409"/>
      <c r="Z60" s="410"/>
    </row>
    <row r="61" spans="2:26" ht="15" customHeight="1">
      <c r="B61" s="411"/>
      <c r="C61" s="412"/>
      <c r="D61" s="412"/>
      <c r="E61" s="412"/>
      <c r="F61" s="412"/>
      <c r="G61" s="412"/>
      <c r="H61" s="412"/>
      <c r="I61" s="412"/>
      <c r="J61" s="412"/>
      <c r="K61" s="412"/>
      <c r="L61" s="412"/>
      <c r="M61" s="412"/>
      <c r="N61" s="412"/>
      <c r="O61" s="412"/>
      <c r="P61" s="412"/>
      <c r="Q61" s="412"/>
      <c r="R61" s="412"/>
      <c r="S61" s="412"/>
      <c r="T61" s="412"/>
      <c r="U61" s="412"/>
      <c r="V61" s="412"/>
      <c r="W61" s="412"/>
      <c r="X61" s="412"/>
      <c r="Y61" s="412"/>
      <c r="Z61" s="413"/>
    </row>
    <row r="62" spans="2:26" ht="15" customHeight="1">
      <c r="B62" s="411"/>
      <c r="C62" s="412"/>
      <c r="D62" s="412"/>
      <c r="E62" s="412"/>
      <c r="F62" s="412"/>
      <c r="G62" s="412"/>
      <c r="H62" s="412"/>
      <c r="I62" s="412"/>
      <c r="J62" s="412"/>
      <c r="K62" s="412"/>
      <c r="L62" s="412"/>
      <c r="M62" s="412"/>
      <c r="N62" s="412"/>
      <c r="O62" s="412"/>
      <c r="P62" s="412"/>
      <c r="Q62" s="412"/>
      <c r="R62" s="412"/>
      <c r="S62" s="412"/>
      <c r="T62" s="412"/>
      <c r="U62" s="412"/>
      <c r="V62" s="412"/>
      <c r="W62" s="412"/>
      <c r="X62" s="412"/>
      <c r="Y62" s="412"/>
      <c r="Z62" s="413"/>
    </row>
    <row r="63" spans="2:26" ht="15" customHeight="1">
      <c r="B63" s="411"/>
      <c r="C63" s="412"/>
      <c r="D63" s="412"/>
      <c r="E63" s="412"/>
      <c r="F63" s="412"/>
      <c r="G63" s="412"/>
      <c r="H63" s="412"/>
      <c r="I63" s="412"/>
      <c r="J63" s="412"/>
      <c r="K63" s="412"/>
      <c r="L63" s="412"/>
      <c r="M63" s="412"/>
      <c r="N63" s="412"/>
      <c r="O63" s="412"/>
      <c r="P63" s="412"/>
      <c r="Q63" s="412"/>
      <c r="R63" s="412"/>
      <c r="S63" s="412"/>
      <c r="T63" s="412"/>
      <c r="U63" s="412"/>
      <c r="V63" s="412"/>
      <c r="W63" s="412"/>
      <c r="X63" s="412"/>
      <c r="Y63" s="412"/>
      <c r="Z63" s="413"/>
    </row>
    <row r="64" spans="2:26" ht="15" customHeight="1" thickBot="1">
      <c r="B64" s="414"/>
      <c r="C64" s="415"/>
      <c r="D64" s="415"/>
      <c r="E64" s="415"/>
      <c r="F64" s="415"/>
      <c r="G64" s="415"/>
      <c r="H64" s="415"/>
      <c r="I64" s="415"/>
      <c r="J64" s="415"/>
      <c r="K64" s="415"/>
      <c r="L64" s="415"/>
      <c r="M64" s="415"/>
      <c r="N64" s="415"/>
      <c r="O64" s="415"/>
      <c r="P64" s="415"/>
      <c r="Q64" s="415"/>
      <c r="R64" s="415"/>
      <c r="S64" s="415"/>
      <c r="T64" s="415"/>
      <c r="U64" s="415"/>
      <c r="V64" s="415"/>
      <c r="W64" s="415"/>
      <c r="X64" s="415"/>
      <c r="Y64" s="415"/>
      <c r="Z64" s="416"/>
    </row>
    <row r="65" spans="2:26"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</row>
    <row r="66" spans="2:26"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</row>
    <row r="67" spans="2:26"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</row>
    <row r="68" spans="2:26"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</row>
    <row r="69" spans="2:26"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</row>
    <row r="70" spans="2:26"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</row>
    <row r="71" spans="2:26"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</row>
    <row r="72" spans="2:26"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</row>
    <row r="73" spans="2:26"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spans="2:26"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</row>
    <row r="75" spans="2:26"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</row>
    <row r="76" spans="2:26"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</row>
    <row r="77" spans="2:26"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</row>
    <row r="78" spans="2:26"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</row>
    <row r="79" spans="2:26"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</row>
    <row r="80" spans="2:26"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spans="2:26"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spans="2:26"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</row>
    <row r="83" spans="2:26"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</row>
    <row r="84" spans="2:26"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</row>
    <row r="85" spans="2:26"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</row>
    <row r="86" spans="2:26"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</row>
    <row r="87" spans="2:26"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spans="2:26"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</row>
    <row r="89" spans="2:26"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</row>
    <row r="90" spans="2:26"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</row>
    <row r="91" spans="2:26"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</row>
    <row r="92" spans="2:26"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</row>
    <row r="93" spans="2:26"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spans="2:26"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</row>
    <row r="95" spans="2:26"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</row>
    <row r="96" spans="2:26"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</row>
    <row r="97" spans="2:26"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</row>
    <row r="98" spans="2:26"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</row>
    <row r="99" spans="2:26"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spans="2:26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</row>
    <row r="101" spans="2:26"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</row>
    <row r="102" spans="2:26"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</row>
    <row r="103" spans="2:26"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</row>
    <row r="104" spans="2:26"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</row>
    <row r="105" spans="2:26"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</row>
    <row r="106" spans="2:26"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</row>
    <row r="107" spans="2:26"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spans="2:26"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</row>
    <row r="109" spans="2:26"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</row>
    <row r="110" spans="2:26"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</row>
    <row r="111" spans="2:26"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</row>
    <row r="112" spans="2:26"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</row>
    <row r="113" spans="2:26"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</row>
    <row r="114" spans="2:26"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</row>
    <row r="115" spans="2:26"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</row>
    <row r="116" spans="2:26"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</row>
    <row r="117" spans="2:26"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</row>
    <row r="118" spans="2:26"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</row>
    <row r="119" spans="2:26"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</row>
    <row r="120" spans="2:26"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</row>
    <row r="121" spans="2:26"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</row>
    <row r="122" spans="2:26"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</row>
    <row r="123" spans="2:26"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</row>
    <row r="124" spans="2:26"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</row>
    <row r="125" spans="2:26"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</row>
    <row r="126" spans="2:26"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</row>
    <row r="127" spans="2:26"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</row>
    <row r="128" spans="2:26"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</row>
    <row r="129" spans="2:26"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</row>
    <row r="130" spans="2:26"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</row>
    <row r="131" spans="2:26"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</row>
    <row r="132" spans="2:26"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</row>
    <row r="133" spans="2:26"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</row>
    <row r="134" spans="2:26"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</row>
    <row r="135" spans="2:26"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</row>
    <row r="136" spans="2:26"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</row>
    <row r="137" spans="2:26"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</row>
    <row r="138" spans="2:26"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</row>
    <row r="139" spans="2:26"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</row>
    <row r="140" spans="2:26"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</row>
    <row r="141" spans="2:26"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</row>
    <row r="142" spans="2:26"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</row>
    <row r="143" spans="2:26"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</row>
    <row r="144" spans="2:26"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</row>
    <row r="145" spans="2:26"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</row>
    <row r="146" spans="2:26"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</row>
    <row r="147" spans="2:26"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</row>
    <row r="148" spans="2:26"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</row>
    <row r="149" spans="2:26"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</row>
    <row r="150" spans="2:26"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</row>
    <row r="151" spans="2:26"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</row>
    <row r="152" spans="2:26"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</row>
    <row r="153" spans="2:26"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</row>
    <row r="154" spans="2:26"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</row>
    <row r="155" spans="2:26"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</row>
    <row r="156" spans="2:26"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</row>
    <row r="157" spans="2:26"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</row>
    <row r="158" spans="2:26"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</row>
    <row r="159" spans="2:26"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</row>
    <row r="160" spans="2:26"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</row>
    <row r="161" spans="2:26"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</row>
    <row r="162" spans="2:26"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</row>
    <row r="163" spans="2:26"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</row>
    <row r="164" spans="2:26"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</row>
    <row r="165" spans="2:26"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</row>
    <row r="166" spans="2:26"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</row>
    <row r="167" spans="2:26"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</row>
    <row r="168" spans="2:26"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</row>
    <row r="169" spans="2:26"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</row>
    <row r="170" spans="2:26"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</row>
    <row r="171" spans="2:26"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</row>
    <row r="172" spans="2:26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</row>
    <row r="173" spans="2:26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</row>
    <row r="174" spans="2:26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</row>
    <row r="175" spans="2:26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</row>
    <row r="176" spans="2:26"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</row>
    <row r="177" spans="2:26"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</row>
    <row r="178" spans="2:26"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</row>
    <row r="179" spans="2:26"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</row>
    <row r="180" spans="2:26"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</row>
    <row r="181" spans="2:26"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</row>
    <row r="182" spans="2:26"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</row>
    <row r="183" spans="2:26"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</row>
    <row r="184" spans="2:26"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</row>
    <row r="185" spans="2:26"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</row>
    <row r="186" spans="2:26"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</row>
    <row r="187" spans="2:26"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</row>
    <row r="188" spans="2:26"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</row>
    <row r="189" spans="2:26"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</row>
    <row r="190" spans="2:26"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</row>
    <row r="191" spans="2:26"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</row>
    <row r="192" spans="2:26"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</row>
    <row r="193" spans="2:26"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</row>
    <row r="194" spans="2:26"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</row>
    <row r="195" spans="2:26"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</row>
    <row r="196" spans="2:26"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</row>
    <row r="197" spans="2:26"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</row>
    <row r="198" spans="2:26"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</row>
    <row r="199" spans="2:26"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</row>
    <row r="200" spans="2:26"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</row>
    <row r="201" spans="2:26"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</row>
    <row r="202" spans="2:26"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</row>
    <row r="203" spans="2:26"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</row>
    <row r="204" spans="2:26"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</row>
    <row r="205" spans="2:26"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</row>
    <row r="206" spans="2:26"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</row>
    <row r="207" spans="2:26"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</row>
    <row r="208" spans="2:26"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</row>
    <row r="209" spans="2:26"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</row>
    <row r="210" spans="2:26"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</row>
    <row r="211" spans="2:26"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</row>
    <row r="212" spans="2:26"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</row>
    <row r="213" spans="2:26"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</row>
    <row r="214" spans="2:26"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</row>
    <row r="215" spans="2:26"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</row>
    <row r="216" spans="2:26"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</row>
    <row r="217" spans="2:26"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</row>
    <row r="218" spans="2:26"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</row>
    <row r="219" spans="2:26"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</row>
    <row r="220" spans="2:26"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</row>
    <row r="221" spans="2:26"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</row>
    <row r="222" spans="2:26"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</row>
    <row r="223" spans="2:26"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</row>
    <row r="224" spans="2:26"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</row>
    <row r="225" spans="2:26"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</row>
    <row r="226" spans="2:26"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</row>
    <row r="227" spans="2:26"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</row>
    <row r="228" spans="2:26"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</row>
    <row r="229" spans="2:26"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</row>
    <row r="230" spans="2:26"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</row>
    <row r="231" spans="2:26"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</row>
    <row r="232" spans="2:26"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</row>
    <row r="233" spans="2:26"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</row>
    <row r="234" spans="2:26"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</row>
    <row r="235" spans="2:26"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</row>
    <row r="236" spans="2:26"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</row>
    <row r="237" spans="2:26"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</row>
    <row r="238" spans="2:26"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</row>
    <row r="239" spans="2:26"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</row>
    <row r="240" spans="2:26"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</row>
    <row r="241" spans="2:26"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</row>
    <row r="242" spans="2:26"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</row>
    <row r="243" spans="2:26"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</row>
    <row r="244" spans="2:26"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</row>
    <row r="245" spans="2:26"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</row>
    <row r="246" spans="2:26"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</row>
    <row r="247" spans="2:26"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</row>
    <row r="248" spans="2:26"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</row>
    <row r="249" spans="2:26"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</row>
    <row r="250" spans="2:26"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</row>
    <row r="251" spans="2:26"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</row>
    <row r="252" spans="2:26"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</row>
    <row r="253" spans="2:26"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</row>
    <row r="254" spans="2:26"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</row>
    <row r="255" spans="2:26"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</row>
    <row r="256" spans="2:26"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</row>
    <row r="257" spans="2:26"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</row>
    <row r="258" spans="2:26"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</row>
    <row r="259" spans="2:26"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</row>
    <row r="260" spans="2:26"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</row>
    <row r="261" spans="2:26"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</row>
    <row r="262" spans="2:26"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</row>
    <row r="263" spans="2:26"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</row>
    <row r="264" spans="2:26"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</row>
    <row r="265" spans="2:26"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</row>
    <row r="266" spans="2:26"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</row>
    <row r="267" spans="2:26"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</row>
    <row r="268" spans="2:26"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</row>
    <row r="269" spans="2:26"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</row>
    <row r="270" spans="2:26"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</row>
    <row r="271" spans="2:26"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</row>
    <row r="272" spans="2:26"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</row>
    <row r="273" spans="2:26"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</row>
    <row r="274" spans="2:26"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</row>
    <row r="275" spans="2:26"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</row>
    <row r="276" spans="2:26"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</row>
    <row r="277" spans="2:26"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</row>
    <row r="278" spans="2:26"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</row>
  </sheetData>
  <mergeCells count="146">
    <mergeCell ref="K3:M3"/>
    <mergeCell ref="U3:Y3"/>
    <mergeCell ref="K4:M4"/>
    <mergeCell ref="U4:Y5"/>
    <mergeCell ref="K5:M5"/>
    <mergeCell ref="B8:H9"/>
    <mergeCell ref="I8:R9"/>
    <mergeCell ref="S8:S9"/>
    <mergeCell ref="T8:U9"/>
    <mergeCell ref="V8:V9"/>
    <mergeCell ref="W8:Z9"/>
    <mergeCell ref="B10:V10"/>
    <mergeCell ref="W10:Z10"/>
    <mergeCell ref="B11:F11"/>
    <mergeCell ref="G11:J11"/>
    <mergeCell ref="K11:N11"/>
    <mergeCell ref="O11:R11"/>
    <mergeCell ref="S11:V11"/>
    <mergeCell ref="W11:Z11"/>
    <mergeCell ref="B12:F12"/>
    <mergeCell ref="W12:Z12"/>
    <mergeCell ref="B13:F15"/>
    <mergeCell ref="G13:J15"/>
    <mergeCell ref="K13:N15"/>
    <mergeCell ref="O13:R15"/>
    <mergeCell ref="S13:V15"/>
    <mergeCell ref="W13:Z13"/>
    <mergeCell ref="W14:Z14"/>
    <mergeCell ref="W15:Z15"/>
    <mergeCell ref="B16:F16"/>
    <mergeCell ref="W16:Z16"/>
    <mergeCell ref="B17:F17"/>
    <mergeCell ref="W17:Z17"/>
    <mergeCell ref="B18:F26"/>
    <mergeCell ref="G18:H18"/>
    <mergeCell ref="K18:L18"/>
    <mergeCell ref="O18:P18"/>
    <mergeCell ref="S18:T18"/>
    <mergeCell ref="W18:Z18"/>
    <mergeCell ref="G19:I19"/>
    <mergeCell ref="K19:M19"/>
    <mergeCell ref="O19:Q19"/>
    <mergeCell ref="S19:U19"/>
    <mergeCell ref="W19:Z19"/>
    <mergeCell ref="G20:I20"/>
    <mergeCell ref="K20:M20"/>
    <mergeCell ref="O20:Q20"/>
    <mergeCell ref="S20:U20"/>
    <mergeCell ref="W20:Z20"/>
    <mergeCell ref="G21:H21"/>
    <mergeCell ref="K21:L21"/>
    <mergeCell ref="O21:P21"/>
    <mergeCell ref="S21:T21"/>
    <mergeCell ref="W21:Z21"/>
    <mergeCell ref="G22:I22"/>
    <mergeCell ref="K22:M22"/>
    <mergeCell ref="O22:Q22"/>
    <mergeCell ref="S22:U22"/>
    <mergeCell ref="G25:I25"/>
    <mergeCell ref="K25:M25"/>
    <mergeCell ref="O25:Q25"/>
    <mergeCell ref="S25:U25"/>
    <mergeCell ref="G23:I23"/>
    <mergeCell ref="K23:M23"/>
    <mergeCell ref="O23:Q23"/>
    <mergeCell ref="S23:U23"/>
    <mergeCell ref="G24:H24"/>
    <mergeCell ref="K24:L24"/>
    <mergeCell ref="O24:P24"/>
    <mergeCell ref="S24:T24"/>
    <mergeCell ref="W30:X31"/>
    <mergeCell ref="B31:E31"/>
    <mergeCell ref="B32:B34"/>
    <mergeCell ref="C32:F34"/>
    <mergeCell ref="G33:J33"/>
    <mergeCell ref="K33:N33"/>
    <mergeCell ref="O33:R33"/>
    <mergeCell ref="S33:V33"/>
    <mergeCell ref="G26:I26"/>
    <mergeCell ref="K26:M26"/>
    <mergeCell ref="O26:Q26"/>
    <mergeCell ref="S26:U26"/>
    <mergeCell ref="B27:B29"/>
    <mergeCell ref="C27:F29"/>
    <mergeCell ref="W28:X29"/>
    <mergeCell ref="K38:N38"/>
    <mergeCell ref="O38:R38"/>
    <mergeCell ref="S38:V38"/>
    <mergeCell ref="B35:E35"/>
    <mergeCell ref="G35:J35"/>
    <mergeCell ref="K35:N35"/>
    <mergeCell ref="O35:R35"/>
    <mergeCell ref="S35:V35"/>
    <mergeCell ref="B30:E30"/>
    <mergeCell ref="B60:Z64"/>
    <mergeCell ref="B47:B51"/>
    <mergeCell ref="C47:F51"/>
    <mergeCell ref="G48:J48"/>
    <mergeCell ref="K48:N48"/>
    <mergeCell ref="O48:R48"/>
    <mergeCell ref="S48:V48"/>
    <mergeCell ref="G50:J50"/>
    <mergeCell ref="K50:N50"/>
    <mergeCell ref="O50:R50"/>
    <mergeCell ref="S50:V50"/>
    <mergeCell ref="W46:X47"/>
    <mergeCell ref="W48:Z49"/>
    <mergeCell ref="B42:B46"/>
    <mergeCell ref="C42:F46"/>
    <mergeCell ref="G43:J43"/>
    <mergeCell ref="K43:N43"/>
    <mergeCell ref="O43:R43"/>
    <mergeCell ref="W22:Z22"/>
    <mergeCell ref="W23:Z23"/>
    <mergeCell ref="W24:X25"/>
    <mergeCell ref="W26:X27"/>
    <mergeCell ref="W32:Z33"/>
    <mergeCell ref="W34:X35"/>
    <mergeCell ref="B52:B59"/>
    <mergeCell ref="C52:F53"/>
    <mergeCell ref="C54:F55"/>
    <mergeCell ref="C56:F57"/>
    <mergeCell ref="C58:F59"/>
    <mergeCell ref="S43:V43"/>
    <mergeCell ref="G45:J45"/>
    <mergeCell ref="K45:N45"/>
    <mergeCell ref="O45:R45"/>
    <mergeCell ref="S45:V45"/>
    <mergeCell ref="G40:J40"/>
    <mergeCell ref="K40:N40"/>
    <mergeCell ref="O40:R40"/>
    <mergeCell ref="S40:V40"/>
    <mergeCell ref="B36:E36"/>
    <mergeCell ref="B37:B41"/>
    <mergeCell ref="C37:F41"/>
    <mergeCell ref="G38:J38"/>
    <mergeCell ref="W50:X51"/>
    <mergeCell ref="W52:Z52"/>
    <mergeCell ref="W53:Z53"/>
    <mergeCell ref="W54:Z59"/>
    <mergeCell ref="W36:Z37"/>
    <mergeCell ref="W38:Z38"/>
    <mergeCell ref="W39:Z39"/>
    <mergeCell ref="W40:X41"/>
    <mergeCell ref="W42:X43"/>
    <mergeCell ref="W44:X45"/>
  </mergeCells>
  <dataValidations count="1">
    <dataValidation type="list" allowBlank="1" showInputMessage="1" showErrorMessage="1" sqref="B31:E31 B36:E36" xr:uid="{B95737C7-D4DA-4B30-A0CB-8E3D93E0519D}">
      <formula1>$N$3:$T$3</formula1>
    </dataValidation>
  </dataValidations>
  <pageMargins left="0.25" right="0.25" top="0.75" bottom="0.75" header="0.3" footer="0.3"/>
  <pageSetup paperSize="3" scale="6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Printall_Click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4</xdr:col>
                    <xdr:colOff>257175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Preview_Click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4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8D9A9F-476D-4635-A1E7-2852D035D791}">
          <x14:formula1>
            <xm:f>_members!$A$2:$A$35</xm:f>
          </x14:formula1>
          <xm:sqref>I8:R9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57A8B-C2EC-4AE4-A954-1DB4BDDCCC4C}">
  <sheetPr codeName="Sheet6"/>
  <dimension ref="A2:AB278"/>
  <sheetViews>
    <sheetView topLeftCell="A40" zoomScale="85" zoomScaleNormal="85" workbookViewId="0">
      <selection activeCell="AD23" sqref="AD23"/>
    </sheetView>
  </sheetViews>
  <sheetFormatPr defaultRowHeight="15"/>
  <cols>
    <col min="1" max="1" width="5.5703125" customWidth="1"/>
    <col min="2" max="3" width="5.28515625" customWidth="1"/>
    <col min="4" max="4" width="5.85546875" customWidth="1"/>
    <col min="5" max="5" width="4" customWidth="1"/>
    <col min="6" max="6" width="5.7109375" bestFit="1" customWidth="1"/>
    <col min="7" max="7" width="5.85546875" customWidth="1"/>
    <col min="8" max="8" width="6" customWidth="1"/>
    <col min="9" max="9" width="4.7109375" customWidth="1"/>
    <col min="10" max="10" width="5.28515625" bestFit="1" customWidth="1"/>
    <col min="11" max="11" width="4.7109375" bestFit="1" customWidth="1"/>
    <col min="12" max="12" width="6" customWidth="1"/>
    <col min="13" max="13" width="5.85546875" customWidth="1"/>
    <col min="14" max="14" width="5.28515625" bestFit="1" customWidth="1"/>
    <col min="15" max="15" width="4.7109375" bestFit="1" customWidth="1"/>
    <col min="16" max="16" width="5.85546875" customWidth="1"/>
    <col min="17" max="17" width="5.7109375" customWidth="1"/>
    <col min="18" max="18" width="5.28515625" customWidth="1"/>
    <col min="19" max="19" width="4.7109375" bestFit="1" customWidth="1"/>
    <col min="20" max="20" width="6.140625" customWidth="1"/>
    <col min="21" max="21" width="6" customWidth="1"/>
    <col min="22" max="22" width="5.28515625" bestFit="1" customWidth="1"/>
    <col min="23" max="23" width="11.7109375" customWidth="1"/>
    <col min="24" max="24" width="5.7109375" customWidth="1"/>
    <col min="25" max="25" width="7" customWidth="1"/>
    <col min="26" max="26" width="6.7109375" bestFit="1" customWidth="1"/>
  </cols>
  <sheetData>
    <row r="2" spans="2:26" ht="14.45" customHeight="1" thickBot="1">
      <c r="B2" s="96"/>
      <c r="C2" s="96"/>
      <c r="D2" s="96"/>
      <c r="F2" s="82"/>
      <c r="G2" s="82"/>
      <c r="H2" s="82"/>
      <c r="I2" s="82"/>
      <c r="J2" s="82"/>
      <c r="K2" s="82"/>
      <c r="L2" s="82"/>
      <c r="M2" s="82"/>
      <c r="N2" s="144"/>
      <c r="O2" s="82"/>
      <c r="P2" s="82"/>
      <c r="Q2" s="82"/>
      <c r="R2" s="82"/>
      <c r="T2" s="81"/>
      <c r="U2" s="81"/>
      <c r="V2" s="81"/>
    </row>
    <row r="3" spans="2:26" ht="14.45" customHeight="1" thickBot="1">
      <c r="B3" s="96"/>
      <c r="C3" s="96"/>
      <c r="D3" s="96"/>
      <c r="F3" s="82"/>
      <c r="G3" s="82"/>
      <c r="H3" s="82"/>
      <c r="I3" s="82"/>
      <c r="J3" s="82"/>
      <c r="K3" s="326" t="s">
        <v>183</v>
      </c>
      <c r="L3" s="326"/>
      <c r="M3" s="327"/>
      <c r="N3" s="85" t="s">
        <v>184</v>
      </c>
      <c r="O3" s="86" t="s">
        <v>185</v>
      </c>
      <c r="P3" s="86" t="s">
        <v>186</v>
      </c>
      <c r="Q3" s="86" t="s">
        <v>187</v>
      </c>
      <c r="R3" s="86" t="s">
        <v>188</v>
      </c>
      <c r="S3" s="86" t="s">
        <v>189</v>
      </c>
      <c r="T3" s="86" t="s">
        <v>190</v>
      </c>
      <c r="U3" s="323" t="s">
        <v>2</v>
      </c>
      <c r="V3" s="324"/>
      <c r="W3" s="324"/>
      <c r="X3" s="324"/>
      <c r="Y3" s="325"/>
    </row>
    <row r="4" spans="2:26" ht="14.45" customHeight="1">
      <c r="B4" s="96"/>
      <c r="C4" s="96"/>
      <c r="D4" s="96"/>
      <c r="F4" s="82"/>
      <c r="G4" s="82"/>
      <c r="H4" s="82"/>
      <c r="I4" s="82"/>
      <c r="J4" s="82"/>
      <c r="K4" s="326" t="s">
        <v>191</v>
      </c>
      <c r="L4" s="326"/>
      <c r="M4" s="327"/>
      <c r="N4" s="87">
        <f>VLOOKUP($I$8,MEMBERMAXES,2,FALSE)</f>
        <v>500</v>
      </c>
      <c r="O4" s="87">
        <f>VLOOKUP($I$8,MEMBERMAXES,3,FALSE)</f>
        <v>350</v>
      </c>
      <c r="P4" s="87">
        <f>VLOOKUP($I$8,MEMBERMAXES,4,FALSE)</f>
        <v>505</v>
      </c>
      <c r="Q4" s="87">
        <f>VLOOKUP($I$8,MEMBERMAXES,5,FALSE)</f>
        <v>325</v>
      </c>
      <c r="R4" s="87">
        <f>VLOOKUP($I$8,MEMBERMAXES,6,FALSE)</f>
        <v>0</v>
      </c>
      <c r="S4" s="87">
        <f>VLOOKUP($I$8,MEMBERMAXES,7,FALSE)</f>
        <v>350</v>
      </c>
      <c r="T4" s="87">
        <f>VLOOKUP($I$8,MEMBERMAXES,8,FALSE)</f>
        <v>600</v>
      </c>
      <c r="U4" s="317">
        <v>1</v>
      </c>
      <c r="V4" s="318"/>
      <c r="W4" s="318"/>
      <c r="X4" s="318"/>
      <c r="Y4" s="319"/>
    </row>
    <row r="5" spans="2:26" ht="14.45" customHeight="1" thickBot="1">
      <c r="B5" s="96"/>
      <c r="C5" s="96"/>
      <c r="D5" s="96"/>
      <c r="F5" s="82"/>
      <c r="G5" s="82"/>
      <c r="H5" s="82"/>
      <c r="I5" s="82"/>
      <c r="J5" s="82"/>
      <c r="K5" s="326" t="s">
        <v>192</v>
      </c>
      <c r="L5" s="326"/>
      <c r="M5" s="327"/>
      <c r="N5" s="88">
        <f t="shared" ref="N5:T5" si="0">N4*$U$4</f>
        <v>500</v>
      </c>
      <c r="O5" s="88">
        <f t="shared" si="0"/>
        <v>350</v>
      </c>
      <c r="P5" s="88">
        <f t="shared" si="0"/>
        <v>505</v>
      </c>
      <c r="Q5" s="88">
        <f t="shared" si="0"/>
        <v>325</v>
      </c>
      <c r="R5" s="88">
        <f t="shared" si="0"/>
        <v>0</v>
      </c>
      <c r="S5" s="88">
        <f t="shared" si="0"/>
        <v>350</v>
      </c>
      <c r="T5" s="88">
        <f t="shared" si="0"/>
        <v>600</v>
      </c>
      <c r="U5" s="320"/>
      <c r="V5" s="321"/>
      <c r="W5" s="321"/>
      <c r="X5" s="321"/>
      <c r="Y5" s="322"/>
    </row>
    <row r="6" spans="2:26" ht="14.45" customHeight="1">
      <c r="B6" s="96"/>
      <c r="C6" s="96"/>
      <c r="D6" s="96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T6" s="81"/>
      <c r="U6" s="81"/>
      <c r="V6" s="81"/>
    </row>
    <row r="7" spans="2:26" ht="14.45" customHeight="1" thickBot="1">
      <c r="B7" s="7"/>
      <c r="C7" s="7"/>
      <c r="D7" s="7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T7" s="6"/>
      <c r="U7" s="6"/>
      <c r="V7" s="6"/>
    </row>
    <row r="8" spans="2:26" ht="14.45" customHeight="1">
      <c r="B8" s="168" t="s">
        <v>194</v>
      </c>
      <c r="C8" s="169"/>
      <c r="D8" s="169"/>
      <c r="E8" s="169"/>
      <c r="F8" s="169"/>
      <c r="G8" s="169"/>
      <c r="H8" s="170"/>
      <c r="I8" s="252" t="s">
        <v>181</v>
      </c>
      <c r="J8" s="253"/>
      <c r="K8" s="253"/>
      <c r="L8" s="253"/>
      <c r="M8" s="253"/>
      <c r="N8" s="253"/>
      <c r="O8" s="253"/>
      <c r="P8" s="253"/>
      <c r="Q8" s="253"/>
      <c r="R8" s="254"/>
      <c r="S8" s="245" t="s">
        <v>167</v>
      </c>
      <c r="T8" s="241" t="s">
        <v>165</v>
      </c>
      <c r="U8" s="242"/>
      <c r="V8" s="239">
        <v>9</v>
      </c>
      <c r="W8" s="331" t="s">
        <v>166</v>
      </c>
      <c r="X8" s="332"/>
      <c r="Y8" s="332"/>
      <c r="Z8" s="333"/>
    </row>
    <row r="9" spans="2:26" ht="14.45" customHeight="1" thickBot="1">
      <c r="B9" s="171"/>
      <c r="C9" s="172"/>
      <c r="D9" s="172"/>
      <c r="E9" s="172"/>
      <c r="F9" s="172"/>
      <c r="G9" s="172"/>
      <c r="H9" s="173"/>
      <c r="I9" s="255"/>
      <c r="J9" s="256"/>
      <c r="K9" s="256"/>
      <c r="L9" s="256"/>
      <c r="M9" s="256"/>
      <c r="N9" s="256"/>
      <c r="O9" s="256"/>
      <c r="P9" s="256"/>
      <c r="Q9" s="256"/>
      <c r="R9" s="257"/>
      <c r="S9" s="246"/>
      <c r="T9" s="243"/>
      <c r="U9" s="244"/>
      <c r="V9" s="240"/>
      <c r="W9" s="334"/>
      <c r="X9" s="335"/>
      <c r="Y9" s="335"/>
      <c r="Z9" s="336"/>
    </row>
    <row r="10" spans="2:26" ht="14.45" customHeight="1" thickBot="1">
      <c r="B10" s="258" t="s">
        <v>16</v>
      </c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59"/>
      <c r="V10" s="260"/>
      <c r="W10" s="292"/>
      <c r="X10" s="293"/>
      <c r="Y10" s="293"/>
      <c r="Z10" s="294"/>
    </row>
    <row r="11" spans="2:26" ht="14.45" customHeight="1" thickBot="1">
      <c r="B11" s="193"/>
      <c r="C11" s="194"/>
      <c r="D11" s="194"/>
      <c r="E11" s="194"/>
      <c r="F11" s="195"/>
      <c r="G11" s="271" t="s">
        <v>4</v>
      </c>
      <c r="H11" s="272"/>
      <c r="I11" s="272"/>
      <c r="J11" s="273"/>
      <c r="K11" s="271" t="s">
        <v>5</v>
      </c>
      <c r="L11" s="272"/>
      <c r="M11" s="272"/>
      <c r="N11" s="273"/>
      <c r="O11" s="271" t="s">
        <v>6</v>
      </c>
      <c r="P11" s="272"/>
      <c r="Q11" s="272"/>
      <c r="R11" s="273"/>
      <c r="S11" s="271" t="s">
        <v>7</v>
      </c>
      <c r="T11" s="272"/>
      <c r="U11" s="272"/>
      <c r="V11" s="273"/>
      <c r="W11" s="301" t="s">
        <v>19</v>
      </c>
      <c r="X11" s="302"/>
      <c r="Y11" s="302"/>
      <c r="Z11" s="303"/>
    </row>
    <row r="12" spans="2:26" ht="14.45" customHeight="1" thickBot="1">
      <c r="B12" s="190"/>
      <c r="C12" s="191"/>
      <c r="D12" s="191"/>
      <c r="E12" s="191"/>
      <c r="F12" s="192"/>
      <c r="G12" s="5" t="s">
        <v>2</v>
      </c>
      <c r="H12" s="2" t="s">
        <v>3</v>
      </c>
      <c r="I12" s="3" t="s">
        <v>1</v>
      </c>
      <c r="J12" s="4" t="s">
        <v>0</v>
      </c>
      <c r="K12" s="1" t="s">
        <v>2</v>
      </c>
      <c r="L12" s="2" t="s">
        <v>3</v>
      </c>
      <c r="M12" s="3" t="s">
        <v>1</v>
      </c>
      <c r="N12" s="4" t="s">
        <v>0</v>
      </c>
      <c r="O12" s="1" t="s">
        <v>2</v>
      </c>
      <c r="P12" s="2" t="s">
        <v>3</v>
      </c>
      <c r="Q12" s="3" t="s">
        <v>1</v>
      </c>
      <c r="R12" s="4" t="s">
        <v>0</v>
      </c>
      <c r="S12" s="1" t="s">
        <v>2</v>
      </c>
      <c r="T12" s="2" t="s">
        <v>3</v>
      </c>
      <c r="U12" s="3" t="s">
        <v>1</v>
      </c>
      <c r="V12" s="4" t="s">
        <v>0</v>
      </c>
      <c r="W12" s="220" t="s">
        <v>118</v>
      </c>
      <c r="X12" s="221"/>
      <c r="Y12" s="221"/>
      <c r="Z12" s="222"/>
    </row>
    <row r="13" spans="2:26" ht="14.45" customHeight="1">
      <c r="B13" s="196" t="s">
        <v>201</v>
      </c>
      <c r="C13" s="197"/>
      <c r="D13" s="197"/>
      <c r="E13" s="197"/>
      <c r="F13" s="198"/>
      <c r="G13" s="220"/>
      <c r="H13" s="221"/>
      <c r="I13" s="221"/>
      <c r="J13" s="222"/>
      <c r="K13" s="220"/>
      <c r="L13" s="221"/>
      <c r="M13" s="221"/>
      <c r="N13" s="222"/>
      <c r="O13" s="220"/>
      <c r="P13" s="221"/>
      <c r="Q13" s="221"/>
      <c r="R13" s="222"/>
      <c r="S13" s="220"/>
      <c r="T13" s="221"/>
      <c r="U13" s="221"/>
      <c r="V13" s="222"/>
      <c r="W13" s="223" t="s">
        <v>119</v>
      </c>
      <c r="X13" s="224"/>
      <c r="Y13" s="224"/>
      <c r="Z13" s="225"/>
    </row>
    <row r="14" spans="2:26" ht="14.45" customHeight="1">
      <c r="B14" s="199"/>
      <c r="C14" s="200"/>
      <c r="D14" s="200"/>
      <c r="E14" s="200"/>
      <c r="F14" s="201"/>
      <c r="G14" s="223"/>
      <c r="H14" s="224"/>
      <c r="I14" s="224"/>
      <c r="J14" s="225"/>
      <c r="K14" s="223"/>
      <c r="L14" s="224"/>
      <c r="M14" s="224"/>
      <c r="N14" s="225"/>
      <c r="O14" s="223"/>
      <c r="P14" s="224"/>
      <c r="Q14" s="224"/>
      <c r="R14" s="225"/>
      <c r="S14" s="223"/>
      <c r="T14" s="224"/>
      <c r="U14" s="224"/>
      <c r="V14" s="225"/>
      <c r="W14" s="223" t="s">
        <v>120</v>
      </c>
      <c r="X14" s="224"/>
      <c r="Y14" s="224"/>
      <c r="Z14" s="225"/>
    </row>
    <row r="15" spans="2:26" ht="14.45" customHeight="1" thickBot="1">
      <c r="B15" s="202"/>
      <c r="C15" s="203"/>
      <c r="D15" s="203"/>
      <c r="E15" s="203"/>
      <c r="F15" s="204"/>
      <c r="G15" s="226"/>
      <c r="H15" s="227"/>
      <c r="I15" s="227"/>
      <c r="J15" s="228"/>
      <c r="K15" s="226"/>
      <c r="L15" s="227"/>
      <c r="M15" s="227"/>
      <c r="N15" s="228"/>
      <c r="O15" s="226"/>
      <c r="P15" s="227"/>
      <c r="Q15" s="227"/>
      <c r="R15" s="228"/>
      <c r="S15" s="226"/>
      <c r="T15" s="227"/>
      <c r="U15" s="227"/>
      <c r="V15" s="228"/>
      <c r="W15" s="223" t="s">
        <v>121</v>
      </c>
      <c r="X15" s="224"/>
      <c r="Y15" s="224"/>
      <c r="Z15" s="225"/>
    </row>
    <row r="16" spans="2:26" ht="14.45" customHeight="1">
      <c r="B16" s="498" t="s">
        <v>73</v>
      </c>
      <c r="C16" s="499"/>
      <c r="D16" s="499"/>
      <c r="E16" s="499"/>
      <c r="F16" s="500"/>
      <c r="G16" s="29"/>
      <c r="H16" s="62">
        <v>12</v>
      </c>
      <c r="I16" s="30" t="s">
        <v>13</v>
      </c>
      <c r="J16" s="31"/>
      <c r="K16" s="29"/>
      <c r="L16" s="62">
        <v>12</v>
      </c>
      <c r="M16" s="30" t="s">
        <v>13</v>
      </c>
      <c r="N16" s="31"/>
      <c r="O16" s="29"/>
      <c r="P16" s="62">
        <v>12</v>
      </c>
      <c r="Q16" s="30" t="s">
        <v>13</v>
      </c>
      <c r="R16" s="31"/>
      <c r="S16" s="29"/>
      <c r="T16" s="62">
        <v>12</v>
      </c>
      <c r="U16" s="30" t="s">
        <v>13</v>
      </c>
      <c r="V16" s="31"/>
      <c r="W16" s="223" t="s">
        <v>122</v>
      </c>
      <c r="X16" s="224"/>
      <c r="Y16" s="224"/>
      <c r="Z16" s="225"/>
    </row>
    <row r="17" spans="1:28" ht="14.45" customHeight="1" thickBot="1">
      <c r="B17" s="501" t="s">
        <v>74</v>
      </c>
      <c r="C17" s="502"/>
      <c r="D17" s="502"/>
      <c r="E17" s="502"/>
      <c r="F17" s="503"/>
      <c r="G17" s="32"/>
      <c r="H17" s="33" t="s">
        <v>58</v>
      </c>
      <c r="I17" s="34">
        <v>20</v>
      </c>
      <c r="J17" s="35"/>
      <c r="K17" s="32"/>
      <c r="L17" s="33" t="s">
        <v>58</v>
      </c>
      <c r="M17" s="34">
        <v>20</v>
      </c>
      <c r="N17" s="35"/>
      <c r="O17" s="32"/>
      <c r="P17" s="33" t="s">
        <v>58</v>
      </c>
      <c r="Q17" s="34">
        <v>20</v>
      </c>
      <c r="R17" s="35"/>
      <c r="S17" s="32"/>
      <c r="T17" s="33" t="s">
        <v>58</v>
      </c>
      <c r="U17" s="34">
        <v>20</v>
      </c>
      <c r="V17" s="35"/>
      <c r="W17" s="223" t="s">
        <v>123</v>
      </c>
      <c r="X17" s="224"/>
      <c r="Y17" s="224"/>
      <c r="Z17" s="225"/>
    </row>
    <row r="18" spans="1:28" ht="14.45" customHeight="1">
      <c r="B18" s="211" t="s">
        <v>182</v>
      </c>
      <c r="C18" s="212"/>
      <c r="D18" s="212"/>
      <c r="E18" s="212"/>
      <c r="F18" s="213"/>
      <c r="G18" s="261" t="s">
        <v>30</v>
      </c>
      <c r="H18" s="262"/>
      <c r="I18" s="109">
        <f>MROUND(F31*J18,5)</f>
        <v>200</v>
      </c>
      <c r="J18" s="98">
        <v>0.4</v>
      </c>
      <c r="K18" s="261" t="s">
        <v>30</v>
      </c>
      <c r="L18" s="262"/>
      <c r="M18" s="36">
        <f>MROUND(F31*N18,5)</f>
        <v>200</v>
      </c>
      <c r="N18" s="37">
        <v>0.4</v>
      </c>
      <c r="O18" s="261" t="s">
        <v>30</v>
      </c>
      <c r="P18" s="262"/>
      <c r="Q18" s="36">
        <f>MROUND(F31*R18,5)</f>
        <v>200</v>
      </c>
      <c r="R18" s="37">
        <v>0.4</v>
      </c>
      <c r="S18" s="261" t="s">
        <v>30</v>
      </c>
      <c r="T18" s="262"/>
      <c r="U18" s="36">
        <f>MROUND(F31*V18,5)</f>
        <v>200</v>
      </c>
      <c r="V18" s="37">
        <v>0.4</v>
      </c>
      <c r="W18" s="223" t="s">
        <v>124</v>
      </c>
      <c r="X18" s="224"/>
      <c r="Y18" s="224"/>
      <c r="Z18" s="225"/>
    </row>
    <row r="19" spans="1:28" ht="14.45" customHeight="1">
      <c r="B19" s="214"/>
      <c r="C19" s="215"/>
      <c r="D19" s="215"/>
      <c r="E19" s="215"/>
      <c r="F19" s="216"/>
      <c r="G19" s="489" t="s">
        <v>75</v>
      </c>
      <c r="H19" s="490"/>
      <c r="I19" s="491"/>
      <c r="J19" s="38" t="s">
        <v>20</v>
      </c>
      <c r="K19" s="489" t="s">
        <v>75</v>
      </c>
      <c r="L19" s="490"/>
      <c r="M19" s="491"/>
      <c r="N19" s="38" t="s">
        <v>20</v>
      </c>
      <c r="O19" s="489" t="s">
        <v>75</v>
      </c>
      <c r="P19" s="490"/>
      <c r="Q19" s="491"/>
      <c r="R19" s="38" t="s">
        <v>20</v>
      </c>
      <c r="S19" s="489" t="s">
        <v>75</v>
      </c>
      <c r="T19" s="490"/>
      <c r="U19" s="491"/>
      <c r="V19" s="38" t="s">
        <v>20</v>
      </c>
      <c r="W19" s="223" t="s">
        <v>100</v>
      </c>
      <c r="X19" s="224"/>
      <c r="Y19" s="224"/>
      <c r="Z19" s="225"/>
    </row>
    <row r="20" spans="1:28" ht="14.45" customHeight="1" thickBot="1">
      <c r="B20" s="214"/>
      <c r="C20" s="215"/>
      <c r="D20" s="215"/>
      <c r="E20" s="215"/>
      <c r="F20" s="216"/>
      <c r="G20" s="489" t="s">
        <v>78</v>
      </c>
      <c r="H20" s="490"/>
      <c r="I20" s="491"/>
      <c r="J20" s="38" t="s">
        <v>79</v>
      </c>
      <c r="K20" s="489" t="s">
        <v>78</v>
      </c>
      <c r="L20" s="490"/>
      <c r="M20" s="491"/>
      <c r="N20" s="38" t="s">
        <v>79</v>
      </c>
      <c r="O20" s="489" t="s">
        <v>78</v>
      </c>
      <c r="P20" s="490"/>
      <c r="Q20" s="491"/>
      <c r="R20" s="38" t="s">
        <v>79</v>
      </c>
      <c r="S20" s="489" t="s">
        <v>78</v>
      </c>
      <c r="T20" s="490"/>
      <c r="U20" s="491"/>
      <c r="V20" s="38" t="s">
        <v>79</v>
      </c>
      <c r="W20" s="223" t="s">
        <v>102</v>
      </c>
      <c r="X20" s="224"/>
      <c r="Y20" s="224"/>
      <c r="Z20" s="225"/>
    </row>
    <row r="21" spans="1:28" ht="14.45" customHeight="1" thickBot="1">
      <c r="B21" s="214"/>
      <c r="C21" s="215"/>
      <c r="D21" s="215"/>
      <c r="E21" s="215"/>
      <c r="F21" s="216"/>
      <c r="G21" s="261" t="s">
        <v>31</v>
      </c>
      <c r="H21" s="262"/>
      <c r="I21" s="97">
        <f>MROUND(F31*J21,5)</f>
        <v>250</v>
      </c>
      <c r="J21" s="98">
        <v>0.5</v>
      </c>
      <c r="K21" s="261" t="s">
        <v>31</v>
      </c>
      <c r="L21" s="262"/>
      <c r="M21" s="36">
        <f>MROUND(F31*N21,5)</f>
        <v>250</v>
      </c>
      <c r="N21" s="37">
        <v>0.5</v>
      </c>
      <c r="O21" s="261" t="s">
        <v>31</v>
      </c>
      <c r="P21" s="262"/>
      <c r="Q21" s="36">
        <f>MROUND(F31*R21,5)</f>
        <v>250</v>
      </c>
      <c r="R21" s="37">
        <v>0.5</v>
      </c>
      <c r="S21" s="261" t="s">
        <v>31</v>
      </c>
      <c r="T21" s="262"/>
      <c r="U21" s="36">
        <f>MROUND(F31*V21,5)</f>
        <v>250</v>
      </c>
      <c r="V21" s="37">
        <v>0.5</v>
      </c>
      <c r="W21" s="226" t="s">
        <v>125</v>
      </c>
      <c r="X21" s="227"/>
      <c r="Y21" s="227"/>
      <c r="Z21" s="228"/>
      <c r="AB21" s="9"/>
    </row>
    <row r="22" spans="1:28" ht="14.45" customHeight="1" thickBot="1">
      <c r="A22" t="s">
        <v>193</v>
      </c>
      <c r="B22" s="214"/>
      <c r="C22" s="215"/>
      <c r="D22" s="215"/>
      <c r="E22" s="215"/>
      <c r="F22" s="216"/>
      <c r="G22" s="489" t="s">
        <v>76</v>
      </c>
      <c r="H22" s="490"/>
      <c r="I22" s="491"/>
      <c r="J22" s="38" t="s">
        <v>20</v>
      </c>
      <c r="K22" s="489" t="s">
        <v>76</v>
      </c>
      <c r="L22" s="490"/>
      <c r="M22" s="491"/>
      <c r="N22" s="38" t="s">
        <v>20</v>
      </c>
      <c r="O22" s="489" t="s">
        <v>76</v>
      </c>
      <c r="P22" s="490"/>
      <c r="Q22" s="491"/>
      <c r="R22" s="38" t="s">
        <v>20</v>
      </c>
      <c r="S22" s="489" t="s">
        <v>76</v>
      </c>
      <c r="T22" s="490"/>
      <c r="U22" s="491"/>
      <c r="V22" s="38" t="s">
        <v>20</v>
      </c>
      <c r="W22" s="396" t="s">
        <v>104</v>
      </c>
      <c r="X22" s="397"/>
      <c r="Y22" s="397"/>
      <c r="Z22" s="398"/>
    </row>
    <row r="23" spans="1:28" ht="14.45" customHeight="1" thickBot="1">
      <c r="B23" s="214"/>
      <c r="C23" s="215"/>
      <c r="D23" s="215"/>
      <c r="E23" s="215"/>
      <c r="F23" s="216"/>
      <c r="G23" s="489" t="s">
        <v>80</v>
      </c>
      <c r="H23" s="490"/>
      <c r="I23" s="491"/>
      <c r="J23" s="38" t="s">
        <v>79</v>
      </c>
      <c r="K23" s="489" t="s">
        <v>80</v>
      </c>
      <c r="L23" s="490"/>
      <c r="M23" s="491"/>
      <c r="N23" s="38" t="s">
        <v>79</v>
      </c>
      <c r="O23" s="489" t="s">
        <v>80</v>
      </c>
      <c r="P23" s="490"/>
      <c r="Q23" s="491"/>
      <c r="R23" s="38" t="s">
        <v>79</v>
      </c>
      <c r="S23" s="489" t="s">
        <v>80</v>
      </c>
      <c r="T23" s="490"/>
      <c r="U23" s="491"/>
      <c r="V23" s="38" t="s">
        <v>79</v>
      </c>
      <c r="W23" s="495" t="s">
        <v>126</v>
      </c>
      <c r="X23" s="496"/>
      <c r="Y23" s="496"/>
      <c r="Z23" s="497"/>
    </row>
    <row r="24" spans="1:28" ht="14.45" customHeight="1" thickBot="1">
      <c r="B24" s="214"/>
      <c r="C24" s="215"/>
      <c r="D24" s="215"/>
      <c r="E24" s="215"/>
      <c r="F24" s="216"/>
      <c r="G24" s="269" t="s">
        <v>32</v>
      </c>
      <c r="H24" s="270"/>
      <c r="I24" s="97">
        <f>MROUND(F31*J24,5)</f>
        <v>300</v>
      </c>
      <c r="J24" s="98">
        <v>0.6</v>
      </c>
      <c r="K24" s="269" t="s">
        <v>32</v>
      </c>
      <c r="L24" s="270"/>
      <c r="M24" s="36">
        <f>MROUND(F31*N24,5)</f>
        <v>300</v>
      </c>
      <c r="N24" s="37">
        <v>0.6</v>
      </c>
      <c r="O24" s="269" t="s">
        <v>32</v>
      </c>
      <c r="P24" s="270"/>
      <c r="Q24" s="36">
        <f>MROUND(F31*R24,5)</f>
        <v>300</v>
      </c>
      <c r="R24" s="37">
        <v>0.6</v>
      </c>
      <c r="S24" s="269" t="s">
        <v>32</v>
      </c>
      <c r="T24" s="270"/>
      <c r="U24" s="36">
        <f>MROUND(F31*V24,5)</f>
        <v>300</v>
      </c>
      <c r="V24" s="37">
        <v>0.6</v>
      </c>
      <c r="W24" s="377" t="s">
        <v>143</v>
      </c>
      <c r="X24" s="378"/>
      <c r="Y24" s="378"/>
      <c r="Z24" s="379"/>
    </row>
    <row r="25" spans="1:28" ht="14.45" customHeight="1" thickBot="1">
      <c r="B25" s="214"/>
      <c r="C25" s="215"/>
      <c r="D25" s="215"/>
      <c r="E25" s="215"/>
      <c r="F25" s="216"/>
      <c r="G25" s="489" t="s">
        <v>77</v>
      </c>
      <c r="H25" s="490"/>
      <c r="I25" s="491"/>
      <c r="J25" s="38" t="s">
        <v>20</v>
      </c>
      <c r="K25" s="489" t="s">
        <v>77</v>
      </c>
      <c r="L25" s="490"/>
      <c r="M25" s="491"/>
      <c r="N25" s="38" t="s">
        <v>20</v>
      </c>
      <c r="O25" s="489" t="s">
        <v>77</v>
      </c>
      <c r="P25" s="490"/>
      <c r="Q25" s="491"/>
      <c r="R25" s="38" t="s">
        <v>20</v>
      </c>
      <c r="S25" s="489" t="s">
        <v>77</v>
      </c>
      <c r="T25" s="490"/>
      <c r="U25" s="491"/>
      <c r="V25" s="38" t="s">
        <v>20</v>
      </c>
      <c r="W25" s="292" t="s">
        <v>144</v>
      </c>
      <c r="X25" s="293"/>
      <c r="Y25" s="293"/>
      <c r="Z25" s="294"/>
    </row>
    <row r="26" spans="1:28" ht="14.45" customHeight="1" thickBot="1">
      <c r="B26" s="217"/>
      <c r="C26" s="218"/>
      <c r="D26" s="218"/>
      <c r="E26" s="218"/>
      <c r="F26" s="219"/>
      <c r="G26" s="492" t="s">
        <v>81</v>
      </c>
      <c r="H26" s="493"/>
      <c r="I26" s="494"/>
      <c r="J26" s="39">
        <v>5</v>
      </c>
      <c r="K26" s="492" t="s">
        <v>81</v>
      </c>
      <c r="L26" s="493"/>
      <c r="M26" s="494"/>
      <c r="N26" s="39">
        <v>5</v>
      </c>
      <c r="O26" s="492" t="s">
        <v>81</v>
      </c>
      <c r="P26" s="493"/>
      <c r="Q26" s="494"/>
      <c r="R26" s="39">
        <v>5</v>
      </c>
      <c r="S26" s="492" t="s">
        <v>81</v>
      </c>
      <c r="T26" s="493"/>
      <c r="U26" s="494"/>
      <c r="V26" s="39">
        <v>5</v>
      </c>
      <c r="W26" s="292" t="s">
        <v>145</v>
      </c>
      <c r="X26" s="294"/>
      <c r="Y26" s="65" t="s">
        <v>146</v>
      </c>
      <c r="Z26" s="65" t="s">
        <v>0</v>
      </c>
    </row>
    <row r="27" spans="1:28" ht="14.45" customHeight="1" thickBot="1">
      <c r="B27" s="274" t="s">
        <v>25</v>
      </c>
      <c r="C27" s="337" t="s">
        <v>29</v>
      </c>
      <c r="D27" s="338"/>
      <c r="E27" s="338"/>
      <c r="F27" s="339"/>
      <c r="G27" s="101">
        <v>0.65</v>
      </c>
      <c r="H27" s="102">
        <v>5</v>
      </c>
      <c r="I27" s="103">
        <f>MROUND(F31*G27,5)</f>
        <v>325</v>
      </c>
      <c r="J27" s="104"/>
      <c r="K27" s="89">
        <v>0.7</v>
      </c>
      <c r="L27" s="90">
        <v>3</v>
      </c>
      <c r="M27" s="90">
        <f>MROUND(F31*K27,5)</f>
        <v>350</v>
      </c>
      <c r="N27" s="91"/>
      <c r="O27" s="89">
        <v>0.75</v>
      </c>
      <c r="P27" s="90">
        <v>5</v>
      </c>
      <c r="Q27" s="90">
        <f>MROUND(F31*O27,5)</f>
        <v>375</v>
      </c>
      <c r="R27" s="91"/>
      <c r="S27" s="89">
        <v>0.65</v>
      </c>
      <c r="T27" s="90">
        <v>5</v>
      </c>
      <c r="U27" s="90">
        <f>MROUND(F31*S27,5)</f>
        <v>325</v>
      </c>
      <c r="V27" s="91"/>
      <c r="W27" s="292" t="s">
        <v>147</v>
      </c>
      <c r="X27" s="294"/>
      <c r="Y27" s="65">
        <v>2</v>
      </c>
      <c r="Z27" s="66">
        <v>10</v>
      </c>
    </row>
    <row r="28" spans="1:28" ht="14.45" customHeight="1" thickBot="1">
      <c r="B28" s="275"/>
      <c r="C28" s="340"/>
      <c r="D28" s="341"/>
      <c r="E28" s="341"/>
      <c r="F28" s="342"/>
      <c r="G28" s="101">
        <v>0.75</v>
      </c>
      <c r="H28" s="102">
        <v>5</v>
      </c>
      <c r="I28" s="103">
        <f>MROUND(F31*G28,5)</f>
        <v>375</v>
      </c>
      <c r="J28" s="105"/>
      <c r="K28" s="89">
        <v>0.8</v>
      </c>
      <c r="L28" s="90">
        <v>3</v>
      </c>
      <c r="M28" s="90">
        <f>MROUND(F31*K28,5)</f>
        <v>400</v>
      </c>
      <c r="N28" s="92"/>
      <c r="O28" s="89">
        <v>0.85</v>
      </c>
      <c r="P28" s="90">
        <v>3</v>
      </c>
      <c r="Q28" s="90">
        <f>MROUND(F31*O28,5)</f>
        <v>425</v>
      </c>
      <c r="R28" s="92"/>
      <c r="S28" s="89">
        <v>0.75</v>
      </c>
      <c r="T28" s="90">
        <v>5</v>
      </c>
      <c r="U28" s="90">
        <f>MROUND(F31*S28,5)</f>
        <v>375</v>
      </c>
      <c r="V28" s="92"/>
      <c r="W28" s="292" t="s">
        <v>148</v>
      </c>
      <c r="X28" s="294"/>
      <c r="Y28" s="65">
        <v>2</v>
      </c>
      <c r="Z28" s="66">
        <v>10</v>
      </c>
    </row>
    <row r="29" spans="1:28" ht="14.45" customHeight="1" thickBot="1">
      <c r="B29" s="276"/>
      <c r="C29" s="343"/>
      <c r="D29" s="344"/>
      <c r="E29" s="344"/>
      <c r="F29" s="345"/>
      <c r="G29" s="106">
        <v>0.85</v>
      </c>
      <c r="H29" s="107" t="s">
        <v>27</v>
      </c>
      <c r="I29" s="103">
        <f>MROUND(F31*G29,5)</f>
        <v>425</v>
      </c>
      <c r="J29" s="108"/>
      <c r="K29" s="93">
        <v>0.9</v>
      </c>
      <c r="L29" s="94" t="s">
        <v>34</v>
      </c>
      <c r="M29" s="90">
        <f>MROUND(F31*K29,5)</f>
        <v>450</v>
      </c>
      <c r="N29" s="95"/>
      <c r="O29" s="93">
        <v>0.95</v>
      </c>
      <c r="P29" s="94" t="s">
        <v>35</v>
      </c>
      <c r="Q29" s="94">
        <f>MROUND(F31*O29,5)</f>
        <v>475</v>
      </c>
      <c r="R29" s="95"/>
      <c r="S29" s="93">
        <v>0.85</v>
      </c>
      <c r="T29" s="94">
        <v>5</v>
      </c>
      <c r="U29" s="94">
        <f>MROUND(F31*S29,5)</f>
        <v>425</v>
      </c>
      <c r="V29" s="95"/>
      <c r="W29" s="292" t="s">
        <v>149</v>
      </c>
      <c r="X29" s="294"/>
      <c r="Y29" s="65">
        <v>1</v>
      </c>
      <c r="Z29" s="66">
        <v>12</v>
      </c>
    </row>
    <row r="30" spans="1:28" ht="14.45" customHeight="1" thickBot="1">
      <c r="B30" s="231" t="s">
        <v>33</v>
      </c>
      <c r="C30" s="232"/>
      <c r="D30" s="232"/>
      <c r="E30" s="233"/>
      <c r="F30" s="110">
        <v>1</v>
      </c>
      <c r="G30" s="111"/>
      <c r="H30" s="112"/>
      <c r="I30" s="103">
        <f>MROUND(F31*G30,5)</f>
        <v>0</v>
      </c>
      <c r="J30" s="113"/>
      <c r="K30" s="111"/>
      <c r="L30" s="112"/>
      <c r="M30" s="114">
        <f>MROUND(F31*K30,5)</f>
        <v>0</v>
      </c>
      <c r="N30" s="113"/>
      <c r="O30" s="111"/>
      <c r="P30" s="112"/>
      <c r="Q30" s="112">
        <f>MROUND(F31*O30,5)</f>
        <v>0</v>
      </c>
      <c r="R30" s="113"/>
      <c r="S30" s="111"/>
      <c r="T30" s="112"/>
      <c r="U30" s="112">
        <f>MROUND(F31*S30,5)</f>
        <v>0</v>
      </c>
      <c r="V30" s="113"/>
      <c r="W30" s="292" t="s">
        <v>150</v>
      </c>
      <c r="X30" s="293"/>
      <c r="Y30" s="293"/>
      <c r="Z30" s="294"/>
    </row>
    <row r="31" spans="1:28" ht="14.45" customHeight="1" thickBot="1">
      <c r="B31" s="234" t="s">
        <v>184</v>
      </c>
      <c r="C31" s="235"/>
      <c r="D31" s="235"/>
      <c r="E31" s="236"/>
      <c r="F31" s="116">
        <f>HLOOKUP(B31,$N$3:$T$4,2,FALSE)*F30</f>
        <v>500</v>
      </c>
      <c r="G31" s="117"/>
      <c r="H31" s="118"/>
      <c r="I31" s="103">
        <f>MROUND(F31*G31,5)</f>
        <v>0</v>
      </c>
      <c r="J31" s="119"/>
      <c r="K31" s="117"/>
      <c r="L31" s="118"/>
      <c r="M31" s="114">
        <f>MROUND(F31*K31,5)</f>
        <v>0</v>
      </c>
      <c r="N31" s="119"/>
      <c r="O31" s="117"/>
      <c r="P31" s="118"/>
      <c r="Q31" s="118">
        <f>MROUND(F31*O31,5)</f>
        <v>0</v>
      </c>
      <c r="R31" s="119"/>
      <c r="S31" s="117"/>
      <c r="T31" s="118"/>
      <c r="U31" s="118">
        <f>MROUND(F31*S31,5)</f>
        <v>0</v>
      </c>
      <c r="V31" s="119"/>
      <c r="W31" s="292" t="s">
        <v>154</v>
      </c>
      <c r="X31" s="293"/>
      <c r="Y31" s="293"/>
      <c r="Z31" s="294"/>
    </row>
    <row r="32" spans="1:28" ht="14.45" customHeight="1" thickBot="1">
      <c r="B32" s="237" t="s">
        <v>26</v>
      </c>
      <c r="C32" s="346" t="s">
        <v>28</v>
      </c>
      <c r="D32" s="347"/>
      <c r="E32" s="347"/>
      <c r="F32" s="348"/>
      <c r="G32" s="120">
        <v>0.4</v>
      </c>
      <c r="H32" s="121">
        <v>4</v>
      </c>
      <c r="I32" s="121">
        <f>MROUND(F36*G32,5)</f>
        <v>140</v>
      </c>
      <c r="J32" s="122"/>
      <c r="K32" s="120">
        <v>0.4</v>
      </c>
      <c r="L32" s="121">
        <v>4</v>
      </c>
      <c r="M32" s="121">
        <f>MROUND(F36*K32,5)</f>
        <v>140</v>
      </c>
      <c r="N32" s="122"/>
      <c r="O32" s="120">
        <v>0.45</v>
      </c>
      <c r="P32" s="121">
        <v>4</v>
      </c>
      <c r="Q32" s="121">
        <f>MROUND(F36*O32,5)</f>
        <v>160</v>
      </c>
      <c r="R32" s="122"/>
      <c r="S32" s="120">
        <v>0.45</v>
      </c>
      <c r="T32" s="121">
        <v>4</v>
      </c>
      <c r="U32" s="121">
        <f>MROUND(F36*S32,5)</f>
        <v>160</v>
      </c>
      <c r="V32" s="122"/>
      <c r="W32" s="452" t="s">
        <v>151</v>
      </c>
      <c r="X32" s="374"/>
      <c r="Y32" s="63" t="s">
        <v>0</v>
      </c>
      <c r="Z32" s="63" t="s">
        <v>105</v>
      </c>
    </row>
    <row r="33" spans="2:26" ht="14.45" customHeight="1" thickBot="1">
      <c r="B33" s="238"/>
      <c r="C33" s="349"/>
      <c r="D33" s="350"/>
      <c r="E33" s="350"/>
      <c r="F33" s="351"/>
      <c r="G33" s="187" t="s">
        <v>42</v>
      </c>
      <c r="H33" s="188"/>
      <c r="I33" s="188"/>
      <c r="J33" s="189"/>
      <c r="K33" s="187" t="s">
        <v>42</v>
      </c>
      <c r="L33" s="188"/>
      <c r="M33" s="188"/>
      <c r="N33" s="189"/>
      <c r="O33" s="187" t="s">
        <v>42</v>
      </c>
      <c r="P33" s="188"/>
      <c r="Q33" s="188"/>
      <c r="R33" s="189"/>
      <c r="S33" s="187" t="s">
        <v>42</v>
      </c>
      <c r="T33" s="188"/>
      <c r="U33" s="188"/>
      <c r="V33" s="189"/>
      <c r="W33" s="375"/>
      <c r="X33" s="376"/>
      <c r="Y33" s="63">
        <v>4</v>
      </c>
      <c r="Z33" s="63" t="s">
        <v>58</v>
      </c>
    </row>
    <row r="34" spans="2:26" ht="14.45" customHeight="1" thickBot="1">
      <c r="B34" s="238"/>
      <c r="C34" s="352"/>
      <c r="D34" s="353"/>
      <c r="E34" s="353"/>
      <c r="F34" s="354"/>
      <c r="G34" s="123">
        <v>0.4</v>
      </c>
      <c r="H34" s="124">
        <v>4</v>
      </c>
      <c r="I34" s="124">
        <f>MROUND(F36*G34,5)</f>
        <v>140</v>
      </c>
      <c r="J34" s="125"/>
      <c r="K34" s="123">
        <v>0.4</v>
      </c>
      <c r="L34" s="124">
        <v>4</v>
      </c>
      <c r="M34" s="124">
        <f>MROUND(F36*K34,5)</f>
        <v>140</v>
      </c>
      <c r="N34" s="125"/>
      <c r="O34" s="123">
        <v>0.45</v>
      </c>
      <c r="P34" s="124">
        <v>4</v>
      </c>
      <c r="Q34" s="124">
        <f>MROUND(F36*O34,5)</f>
        <v>160</v>
      </c>
      <c r="R34" s="125"/>
      <c r="S34" s="123">
        <v>0.45</v>
      </c>
      <c r="T34" s="124">
        <v>4</v>
      </c>
      <c r="U34" s="124">
        <f>MROUND(F36*S34,5)</f>
        <v>160</v>
      </c>
      <c r="V34" s="125"/>
      <c r="W34" s="452" t="s">
        <v>152</v>
      </c>
      <c r="X34" s="374"/>
      <c r="Y34" s="63" t="s">
        <v>0</v>
      </c>
      <c r="Z34" s="63" t="s">
        <v>105</v>
      </c>
    </row>
    <row r="35" spans="2:26" ht="14.45" customHeight="1" thickBot="1">
      <c r="B35" s="231" t="s">
        <v>33</v>
      </c>
      <c r="C35" s="232"/>
      <c r="D35" s="232"/>
      <c r="E35" s="233"/>
      <c r="F35" s="110">
        <v>1</v>
      </c>
      <c r="G35" s="187" t="s">
        <v>43</v>
      </c>
      <c r="H35" s="188"/>
      <c r="I35" s="188"/>
      <c r="J35" s="189"/>
      <c r="K35" s="187" t="s">
        <v>43</v>
      </c>
      <c r="L35" s="188"/>
      <c r="M35" s="188"/>
      <c r="N35" s="189"/>
      <c r="O35" s="187" t="s">
        <v>43</v>
      </c>
      <c r="P35" s="188"/>
      <c r="Q35" s="188"/>
      <c r="R35" s="189"/>
      <c r="S35" s="187" t="s">
        <v>43</v>
      </c>
      <c r="T35" s="188"/>
      <c r="U35" s="188"/>
      <c r="V35" s="189"/>
      <c r="W35" s="375"/>
      <c r="X35" s="376"/>
      <c r="Y35" s="63">
        <v>4</v>
      </c>
      <c r="Z35" s="63" t="s">
        <v>140</v>
      </c>
    </row>
    <row r="36" spans="2:26" ht="14.45" customHeight="1" thickBot="1">
      <c r="B36" s="234" t="s">
        <v>185</v>
      </c>
      <c r="C36" s="235"/>
      <c r="D36" s="235"/>
      <c r="E36" s="236"/>
      <c r="F36" s="126">
        <f>HLOOKUP(B36,$N$3:$T$4,2,FALSE)*F35</f>
        <v>350</v>
      </c>
      <c r="G36" s="127">
        <v>0.4</v>
      </c>
      <c r="H36" s="128">
        <v>4</v>
      </c>
      <c r="I36" s="128">
        <f>MROUND(F36*G36,5)</f>
        <v>140</v>
      </c>
      <c r="J36" s="129"/>
      <c r="K36" s="127">
        <v>0.4</v>
      </c>
      <c r="L36" s="128">
        <v>4</v>
      </c>
      <c r="M36" s="128">
        <f>MROUND(F36*K36,5)</f>
        <v>140</v>
      </c>
      <c r="N36" s="129"/>
      <c r="O36" s="127">
        <v>0.45</v>
      </c>
      <c r="P36" s="128">
        <v>4</v>
      </c>
      <c r="Q36" s="128">
        <f>MROUND(F36*O36,5)</f>
        <v>160</v>
      </c>
      <c r="R36" s="129"/>
      <c r="S36" s="127">
        <v>0.45</v>
      </c>
      <c r="T36" s="128">
        <v>4</v>
      </c>
      <c r="U36" s="128">
        <f>MROUND(F36*S36,5)</f>
        <v>160</v>
      </c>
      <c r="V36" s="129"/>
      <c r="W36" s="452" t="s">
        <v>153</v>
      </c>
      <c r="X36" s="374"/>
      <c r="Y36" s="63" t="s">
        <v>0</v>
      </c>
      <c r="Z36" s="63" t="s">
        <v>146</v>
      </c>
    </row>
    <row r="37" spans="2:26" ht="14.45" customHeight="1" thickBot="1">
      <c r="B37" s="468" t="s">
        <v>48</v>
      </c>
      <c r="C37" s="480" t="s">
        <v>82</v>
      </c>
      <c r="D37" s="481"/>
      <c r="E37" s="481"/>
      <c r="F37" s="482"/>
      <c r="G37" s="41"/>
      <c r="H37" s="42">
        <v>10</v>
      </c>
      <c r="I37" s="42"/>
      <c r="J37" s="43"/>
      <c r="K37" s="41"/>
      <c r="L37" s="42">
        <v>8</v>
      </c>
      <c r="M37" s="42"/>
      <c r="N37" s="43"/>
      <c r="O37" s="41"/>
      <c r="P37" s="42">
        <v>6</v>
      </c>
      <c r="Q37" s="42"/>
      <c r="R37" s="43"/>
      <c r="S37" s="41"/>
      <c r="T37" s="42">
        <v>6</v>
      </c>
      <c r="U37" s="42"/>
      <c r="V37" s="43"/>
      <c r="W37" s="375"/>
      <c r="X37" s="376"/>
      <c r="Y37" s="63">
        <v>8</v>
      </c>
      <c r="Z37" s="63">
        <v>3</v>
      </c>
    </row>
    <row r="38" spans="2:26" ht="14.45" customHeight="1" thickBot="1">
      <c r="B38" s="469"/>
      <c r="C38" s="483"/>
      <c r="D38" s="484"/>
      <c r="E38" s="484"/>
      <c r="F38" s="485"/>
      <c r="G38" s="462" t="s">
        <v>90</v>
      </c>
      <c r="H38" s="463"/>
      <c r="I38" s="463"/>
      <c r="J38" s="464"/>
      <c r="K38" s="462" t="s">
        <v>90</v>
      </c>
      <c r="L38" s="463"/>
      <c r="M38" s="463"/>
      <c r="N38" s="464"/>
      <c r="O38" s="462" t="s">
        <v>90</v>
      </c>
      <c r="P38" s="463"/>
      <c r="Q38" s="463"/>
      <c r="R38" s="464"/>
      <c r="S38" s="462" t="s">
        <v>90</v>
      </c>
      <c r="T38" s="463"/>
      <c r="U38" s="463"/>
      <c r="V38" s="464"/>
      <c r="W38" s="452" t="s">
        <v>172</v>
      </c>
      <c r="X38" s="374"/>
      <c r="Y38" s="63" t="s">
        <v>162</v>
      </c>
      <c r="Z38" s="63" t="s">
        <v>163</v>
      </c>
    </row>
    <row r="39" spans="2:26" ht="14.45" customHeight="1" thickBot="1">
      <c r="B39" s="469"/>
      <c r="C39" s="483"/>
      <c r="D39" s="484"/>
      <c r="E39" s="484"/>
      <c r="F39" s="485"/>
      <c r="G39" s="44"/>
      <c r="H39" s="45">
        <v>10</v>
      </c>
      <c r="I39" s="45"/>
      <c r="J39" s="46"/>
      <c r="K39" s="44"/>
      <c r="L39" s="45">
        <v>8</v>
      </c>
      <c r="M39" s="45"/>
      <c r="N39" s="46"/>
      <c r="O39" s="44"/>
      <c r="P39" s="45">
        <v>6</v>
      </c>
      <c r="Q39" s="45"/>
      <c r="R39" s="46"/>
      <c r="S39" s="44"/>
      <c r="T39" s="45">
        <v>6</v>
      </c>
      <c r="U39" s="45"/>
      <c r="V39" s="46"/>
      <c r="W39" s="375"/>
      <c r="X39" s="376"/>
      <c r="Y39" s="63"/>
      <c r="Z39" s="63"/>
    </row>
    <row r="40" spans="2:26" ht="14.45" customHeight="1" thickBot="1">
      <c r="B40" s="469"/>
      <c r="C40" s="483"/>
      <c r="D40" s="484"/>
      <c r="E40" s="484"/>
      <c r="F40" s="485"/>
      <c r="G40" s="462" t="s">
        <v>90</v>
      </c>
      <c r="H40" s="463"/>
      <c r="I40" s="463"/>
      <c r="J40" s="464"/>
      <c r="K40" s="462" t="s">
        <v>90</v>
      </c>
      <c r="L40" s="463"/>
      <c r="M40" s="463"/>
      <c r="N40" s="464"/>
      <c r="O40" s="462" t="s">
        <v>90</v>
      </c>
      <c r="P40" s="463"/>
      <c r="Q40" s="463"/>
      <c r="R40" s="464"/>
      <c r="S40" s="462" t="s">
        <v>90</v>
      </c>
      <c r="T40" s="463"/>
      <c r="U40" s="463"/>
      <c r="V40" s="464"/>
      <c r="W40" s="292" t="s">
        <v>155</v>
      </c>
      <c r="X40" s="293"/>
      <c r="Y40" s="293"/>
      <c r="Z40" s="294"/>
    </row>
    <row r="41" spans="2:26" ht="14.45" customHeight="1" thickBot="1">
      <c r="B41" s="470"/>
      <c r="C41" s="486"/>
      <c r="D41" s="487"/>
      <c r="E41" s="487"/>
      <c r="F41" s="488"/>
      <c r="G41" s="47"/>
      <c r="H41" s="48">
        <v>10</v>
      </c>
      <c r="I41" s="48"/>
      <c r="J41" s="49"/>
      <c r="K41" s="47"/>
      <c r="L41" s="48">
        <v>8</v>
      </c>
      <c r="M41" s="48"/>
      <c r="N41" s="49"/>
      <c r="O41" s="47"/>
      <c r="P41" s="48">
        <v>6</v>
      </c>
      <c r="Q41" s="48"/>
      <c r="R41" s="49"/>
      <c r="S41" s="47"/>
      <c r="T41" s="48">
        <v>6</v>
      </c>
      <c r="U41" s="48"/>
      <c r="V41" s="49"/>
      <c r="W41" s="452" t="s">
        <v>156</v>
      </c>
      <c r="X41" s="374"/>
      <c r="Y41" s="63" t="s">
        <v>0</v>
      </c>
      <c r="Z41" s="63" t="s">
        <v>146</v>
      </c>
    </row>
    <row r="42" spans="2:26" ht="14.45" customHeight="1" thickBot="1">
      <c r="B42" s="468" t="s">
        <v>48</v>
      </c>
      <c r="C42" s="471" t="s">
        <v>83</v>
      </c>
      <c r="D42" s="472"/>
      <c r="E42" s="472"/>
      <c r="F42" s="473"/>
      <c r="G42" s="41"/>
      <c r="H42" s="42">
        <v>6</v>
      </c>
      <c r="I42" s="42"/>
      <c r="J42" s="43"/>
      <c r="K42" s="41"/>
      <c r="L42" s="42">
        <v>6</v>
      </c>
      <c r="M42" s="42"/>
      <c r="N42" s="43"/>
      <c r="O42" s="41"/>
      <c r="P42" s="42">
        <v>6</v>
      </c>
      <c r="Q42" s="42"/>
      <c r="R42" s="43"/>
      <c r="S42" s="41"/>
      <c r="T42" s="42">
        <v>6</v>
      </c>
      <c r="U42" s="42"/>
      <c r="V42" s="43"/>
      <c r="W42" s="375"/>
      <c r="X42" s="376"/>
      <c r="Y42" s="63">
        <v>20</v>
      </c>
      <c r="Z42" s="63">
        <v>2</v>
      </c>
    </row>
    <row r="43" spans="2:26" ht="14.45" customHeight="1" thickBot="1">
      <c r="B43" s="469"/>
      <c r="C43" s="474"/>
      <c r="D43" s="475"/>
      <c r="E43" s="475"/>
      <c r="F43" s="476"/>
      <c r="G43" s="462" t="s">
        <v>91</v>
      </c>
      <c r="H43" s="463"/>
      <c r="I43" s="463"/>
      <c r="J43" s="464"/>
      <c r="K43" s="462" t="s">
        <v>91</v>
      </c>
      <c r="L43" s="463"/>
      <c r="M43" s="463"/>
      <c r="N43" s="464"/>
      <c r="O43" s="462" t="s">
        <v>91</v>
      </c>
      <c r="P43" s="463"/>
      <c r="Q43" s="463"/>
      <c r="R43" s="464"/>
      <c r="S43" s="462" t="s">
        <v>91</v>
      </c>
      <c r="T43" s="463"/>
      <c r="U43" s="463"/>
      <c r="V43" s="464"/>
      <c r="W43" s="452" t="s">
        <v>157</v>
      </c>
      <c r="X43" s="374"/>
      <c r="Y43" s="63" t="s">
        <v>0</v>
      </c>
      <c r="Z43" s="63" t="s">
        <v>146</v>
      </c>
    </row>
    <row r="44" spans="2:26" ht="14.45" customHeight="1" thickBot="1">
      <c r="B44" s="469"/>
      <c r="C44" s="474"/>
      <c r="D44" s="475"/>
      <c r="E44" s="475"/>
      <c r="F44" s="476"/>
      <c r="G44" s="44"/>
      <c r="H44" s="45">
        <v>6</v>
      </c>
      <c r="I44" s="45"/>
      <c r="J44" s="46"/>
      <c r="K44" s="44"/>
      <c r="L44" s="45">
        <v>6</v>
      </c>
      <c r="M44" s="45"/>
      <c r="N44" s="46"/>
      <c r="O44" s="44"/>
      <c r="P44" s="45">
        <v>6</v>
      </c>
      <c r="Q44" s="45"/>
      <c r="R44" s="46"/>
      <c r="S44" s="44"/>
      <c r="T44" s="45">
        <v>6</v>
      </c>
      <c r="U44" s="45"/>
      <c r="V44" s="46"/>
      <c r="W44" s="375"/>
      <c r="X44" s="376"/>
      <c r="Y44" s="63">
        <v>25</v>
      </c>
      <c r="Z44" s="63">
        <v>3</v>
      </c>
    </row>
    <row r="45" spans="2:26" ht="14.45" customHeight="1" thickBot="1">
      <c r="B45" s="469"/>
      <c r="C45" s="474"/>
      <c r="D45" s="475"/>
      <c r="E45" s="475"/>
      <c r="F45" s="476"/>
      <c r="G45" s="462" t="s">
        <v>92</v>
      </c>
      <c r="H45" s="463"/>
      <c r="I45" s="463"/>
      <c r="J45" s="464"/>
      <c r="K45" s="462" t="s">
        <v>92</v>
      </c>
      <c r="L45" s="463"/>
      <c r="M45" s="463"/>
      <c r="N45" s="464"/>
      <c r="O45" s="462" t="s">
        <v>92</v>
      </c>
      <c r="P45" s="463"/>
      <c r="Q45" s="463"/>
      <c r="R45" s="464"/>
      <c r="S45" s="462" t="s">
        <v>92</v>
      </c>
      <c r="T45" s="463"/>
      <c r="U45" s="463"/>
      <c r="V45" s="464"/>
      <c r="W45" s="452" t="s">
        <v>158</v>
      </c>
      <c r="X45" s="374"/>
      <c r="Y45" s="63" t="s">
        <v>0</v>
      </c>
      <c r="Z45" s="63" t="s">
        <v>146</v>
      </c>
    </row>
    <row r="46" spans="2:26" ht="14.45" customHeight="1" thickBot="1">
      <c r="B46" s="470"/>
      <c r="C46" s="477"/>
      <c r="D46" s="478"/>
      <c r="E46" s="478"/>
      <c r="F46" s="479"/>
      <c r="G46" s="47"/>
      <c r="H46" s="48">
        <v>6</v>
      </c>
      <c r="I46" s="48"/>
      <c r="J46" s="49"/>
      <c r="K46" s="47"/>
      <c r="L46" s="48">
        <v>6</v>
      </c>
      <c r="M46" s="48"/>
      <c r="N46" s="49"/>
      <c r="O46" s="47"/>
      <c r="P46" s="48">
        <v>6</v>
      </c>
      <c r="Q46" s="48"/>
      <c r="R46" s="49"/>
      <c r="S46" s="47"/>
      <c r="T46" s="48">
        <v>6</v>
      </c>
      <c r="U46" s="48"/>
      <c r="V46" s="49"/>
      <c r="W46" s="375"/>
      <c r="X46" s="376"/>
      <c r="Y46" s="63">
        <v>25</v>
      </c>
      <c r="Z46" s="63">
        <v>3</v>
      </c>
    </row>
    <row r="47" spans="2:26" ht="14.45" customHeight="1" thickBot="1">
      <c r="B47" s="468" t="s">
        <v>48</v>
      </c>
      <c r="C47" s="471" t="s">
        <v>84</v>
      </c>
      <c r="D47" s="472"/>
      <c r="E47" s="472"/>
      <c r="F47" s="473"/>
      <c r="G47" s="41"/>
      <c r="H47" s="42">
        <v>8</v>
      </c>
      <c r="I47" s="42"/>
      <c r="J47" s="43"/>
      <c r="K47" s="41"/>
      <c r="L47" s="42">
        <v>8</v>
      </c>
      <c r="M47" s="42"/>
      <c r="N47" s="43"/>
      <c r="O47" s="41"/>
      <c r="P47" s="42">
        <v>8</v>
      </c>
      <c r="Q47" s="42"/>
      <c r="R47" s="43"/>
      <c r="S47" s="41"/>
      <c r="T47" s="42">
        <v>8</v>
      </c>
      <c r="U47" s="42"/>
      <c r="V47" s="43"/>
      <c r="W47" s="452" t="s">
        <v>159</v>
      </c>
      <c r="X47" s="374"/>
      <c r="Y47" s="63" t="s">
        <v>0</v>
      </c>
      <c r="Z47" s="63" t="s">
        <v>146</v>
      </c>
    </row>
    <row r="48" spans="2:26" ht="14.45" customHeight="1" thickBot="1">
      <c r="B48" s="469"/>
      <c r="C48" s="474"/>
      <c r="D48" s="475"/>
      <c r="E48" s="475"/>
      <c r="F48" s="476"/>
      <c r="G48" s="462" t="s">
        <v>93</v>
      </c>
      <c r="H48" s="463"/>
      <c r="I48" s="463"/>
      <c r="J48" s="464"/>
      <c r="K48" s="462" t="s">
        <v>93</v>
      </c>
      <c r="L48" s="463"/>
      <c r="M48" s="463"/>
      <c r="N48" s="464"/>
      <c r="O48" s="462" t="s">
        <v>93</v>
      </c>
      <c r="P48" s="463"/>
      <c r="Q48" s="463"/>
      <c r="R48" s="464"/>
      <c r="S48" s="462" t="s">
        <v>93</v>
      </c>
      <c r="T48" s="463"/>
      <c r="U48" s="463"/>
      <c r="V48" s="464"/>
      <c r="W48" s="375"/>
      <c r="X48" s="376"/>
      <c r="Y48" s="63">
        <v>20</v>
      </c>
      <c r="Z48" s="63">
        <v>2</v>
      </c>
    </row>
    <row r="49" spans="2:26" ht="14.45" customHeight="1" thickBot="1">
      <c r="B49" s="469"/>
      <c r="C49" s="474"/>
      <c r="D49" s="475"/>
      <c r="E49" s="475"/>
      <c r="F49" s="476"/>
      <c r="G49" s="44"/>
      <c r="H49" s="45">
        <v>8</v>
      </c>
      <c r="I49" s="45"/>
      <c r="J49" s="46"/>
      <c r="K49" s="44"/>
      <c r="L49" s="45">
        <v>8</v>
      </c>
      <c r="M49" s="45"/>
      <c r="N49" s="46"/>
      <c r="O49" s="44"/>
      <c r="P49" s="45">
        <v>8</v>
      </c>
      <c r="Q49" s="45"/>
      <c r="R49" s="46"/>
      <c r="S49" s="44"/>
      <c r="T49" s="45">
        <v>8</v>
      </c>
      <c r="U49" s="45"/>
      <c r="V49" s="46"/>
      <c r="W49" s="147" t="s">
        <v>117</v>
      </c>
      <c r="X49" s="148"/>
      <c r="Y49" s="148"/>
      <c r="Z49" s="149"/>
    </row>
    <row r="50" spans="2:26" ht="14.45" customHeight="1" thickBot="1">
      <c r="B50" s="469"/>
      <c r="C50" s="474"/>
      <c r="D50" s="475"/>
      <c r="E50" s="475"/>
      <c r="F50" s="476"/>
      <c r="G50" s="462" t="s">
        <v>93</v>
      </c>
      <c r="H50" s="463"/>
      <c r="I50" s="463"/>
      <c r="J50" s="464"/>
      <c r="K50" s="462" t="s">
        <v>93</v>
      </c>
      <c r="L50" s="463"/>
      <c r="M50" s="463"/>
      <c r="N50" s="464"/>
      <c r="O50" s="462" t="s">
        <v>93</v>
      </c>
      <c r="P50" s="463"/>
      <c r="Q50" s="463"/>
      <c r="R50" s="464"/>
      <c r="S50" s="462" t="s">
        <v>93</v>
      </c>
      <c r="T50" s="463"/>
      <c r="U50" s="463"/>
      <c r="V50" s="464"/>
      <c r="W50" s="377" t="s">
        <v>143</v>
      </c>
      <c r="X50" s="378"/>
      <c r="Y50" s="378"/>
      <c r="Z50" s="379"/>
    </row>
    <row r="51" spans="2:26" ht="14.45" customHeight="1" thickBot="1">
      <c r="B51" s="470"/>
      <c r="C51" s="477"/>
      <c r="D51" s="478"/>
      <c r="E51" s="478"/>
      <c r="F51" s="479"/>
      <c r="G51" s="47"/>
      <c r="H51" s="48">
        <v>8</v>
      </c>
      <c r="I51" s="48"/>
      <c r="J51" s="49"/>
      <c r="K51" s="47"/>
      <c r="L51" s="48">
        <v>8</v>
      </c>
      <c r="M51" s="48"/>
      <c r="N51" s="49"/>
      <c r="O51" s="47"/>
      <c r="P51" s="48">
        <v>8</v>
      </c>
      <c r="Q51" s="48"/>
      <c r="R51" s="49"/>
      <c r="S51" s="47"/>
      <c r="T51" s="48">
        <v>8</v>
      </c>
      <c r="U51" s="48"/>
      <c r="V51" s="49"/>
      <c r="W51" s="380" t="s">
        <v>164</v>
      </c>
      <c r="X51" s="381"/>
      <c r="Y51" s="381"/>
      <c r="Z51" s="382"/>
    </row>
    <row r="52" spans="2:26" ht="14.45" customHeight="1">
      <c r="B52" s="465"/>
      <c r="C52" s="212" t="s">
        <v>86</v>
      </c>
      <c r="D52" s="212"/>
      <c r="E52" s="212"/>
      <c r="F52" s="213"/>
      <c r="G52" s="83"/>
      <c r="H52" s="50">
        <v>8</v>
      </c>
      <c r="I52" s="36"/>
      <c r="J52" s="51"/>
      <c r="K52" s="83"/>
      <c r="L52" s="50">
        <v>8</v>
      </c>
      <c r="M52" s="36"/>
      <c r="N52" s="51"/>
      <c r="O52" s="83"/>
      <c r="P52" s="50">
        <v>8</v>
      </c>
      <c r="Q52" s="36"/>
      <c r="R52" s="51"/>
      <c r="S52" s="83"/>
      <c r="T52" s="50">
        <v>8</v>
      </c>
      <c r="U52" s="36"/>
      <c r="V52" s="51"/>
      <c r="W52" s="383"/>
      <c r="X52" s="384"/>
      <c r="Y52" s="384"/>
      <c r="Z52" s="385"/>
    </row>
    <row r="53" spans="2:26" ht="14.45" customHeight="1" thickBot="1">
      <c r="B53" s="466"/>
      <c r="C53" s="218"/>
      <c r="D53" s="218"/>
      <c r="E53" s="218"/>
      <c r="F53" s="219"/>
      <c r="G53" s="84"/>
      <c r="H53" s="40">
        <v>8</v>
      </c>
      <c r="I53" s="52"/>
      <c r="J53" s="39"/>
      <c r="K53" s="84"/>
      <c r="L53" s="40">
        <v>8</v>
      </c>
      <c r="M53" s="52"/>
      <c r="N53" s="39"/>
      <c r="O53" s="84"/>
      <c r="P53" s="40">
        <v>8</v>
      </c>
      <c r="Q53" s="52"/>
      <c r="R53" s="39"/>
      <c r="S53" s="84"/>
      <c r="T53" s="40">
        <v>8</v>
      </c>
      <c r="U53" s="52"/>
      <c r="V53" s="39"/>
      <c r="W53" s="383"/>
      <c r="X53" s="384"/>
      <c r="Y53" s="384"/>
      <c r="Z53" s="385"/>
    </row>
    <row r="54" spans="2:26" ht="14.45" customHeight="1">
      <c r="B54" s="466"/>
      <c r="C54" s="212" t="s">
        <v>87</v>
      </c>
      <c r="D54" s="212"/>
      <c r="E54" s="212"/>
      <c r="F54" s="213"/>
      <c r="G54" s="83"/>
      <c r="H54" s="50">
        <v>8</v>
      </c>
      <c r="I54" s="36"/>
      <c r="J54" s="51"/>
      <c r="K54" s="83"/>
      <c r="L54" s="50">
        <v>8</v>
      </c>
      <c r="M54" s="36"/>
      <c r="N54" s="51"/>
      <c r="O54" s="83"/>
      <c r="P54" s="50">
        <v>8</v>
      </c>
      <c r="Q54" s="36"/>
      <c r="R54" s="51"/>
      <c r="S54" s="83"/>
      <c r="T54" s="50">
        <v>8</v>
      </c>
      <c r="U54" s="36"/>
      <c r="V54" s="51"/>
      <c r="W54" s="383"/>
      <c r="X54" s="384"/>
      <c r="Y54" s="384"/>
      <c r="Z54" s="385"/>
    </row>
    <row r="55" spans="2:26" ht="14.45" customHeight="1" thickBot="1">
      <c r="B55" s="466"/>
      <c r="C55" s="218"/>
      <c r="D55" s="218"/>
      <c r="E55" s="218"/>
      <c r="F55" s="219"/>
      <c r="G55" s="84"/>
      <c r="H55" s="40">
        <v>8</v>
      </c>
      <c r="I55" s="52"/>
      <c r="J55" s="39"/>
      <c r="K55" s="84"/>
      <c r="L55" s="40">
        <v>8</v>
      </c>
      <c r="M55" s="52"/>
      <c r="N55" s="39"/>
      <c r="O55" s="84"/>
      <c r="P55" s="40">
        <v>8</v>
      </c>
      <c r="Q55" s="52"/>
      <c r="R55" s="39"/>
      <c r="S55" s="84"/>
      <c r="T55" s="40">
        <v>8</v>
      </c>
      <c r="U55" s="52"/>
      <c r="V55" s="39"/>
      <c r="W55" s="383"/>
      <c r="X55" s="384"/>
      <c r="Y55" s="384"/>
      <c r="Z55" s="385"/>
    </row>
    <row r="56" spans="2:26" ht="14.45" customHeight="1">
      <c r="B56" s="466"/>
      <c r="C56" s="212" t="s">
        <v>88</v>
      </c>
      <c r="D56" s="212"/>
      <c r="E56" s="212"/>
      <c r="F56" s="213"/>
      <c r="G56" s="83"/>
      <c r="H56" s="50">
        <v>8</v>
      </c>
      <c r="I56" s="36"/>
      <c r="J56" s="51"/>
      <c r="K56" s="83"/>
      <c r="L56" s="50">
        <v>8</v>
      </c>
      <c r="M56" s="36"/>
      <c r="N56" s="51"/>
      <c r="O56" s="83"/>
      <c r="P56" s="50">
        <v>8</v>
      </c>
      <c r="Q56" s="36"/>
      <c r="R56" s="51"/>
      <c r="S56" s="83"/>
      <c r="T56" s="50">
        <v>8</v>
      </c>
      <c r="U56" s="36"/>
      <c r="V56" s="51"/>
      <c r="W56" s="383"/>
      <c r="X56" s="384"/>
      <c r="Y56" s="384"/>
      <c r="Z56" s="385"/>
    </row>
    <row r="57" spans="2:26" ht="14.45" customHeight="1" thickBot="1">
      <c r="B57" s="466"/>
      <c r="C57" s="218"/>
      <c r="D57" s="218"/>
      <c r="E57" s="218"/>
      <c r="F57" s="219"/>
      <c r="G57" s="84"/>
      <c r="H57" s="40">
        <v>8</v>
      </c>
      <c r="I57" s="52"/>
      <c r="J57" s="39"/>
      <c r="K57" s="84"/>
      <c r="L57" s="40">
        <v>8</v>
      </c>
      <c r="M57" s="52"/>
      <c r="N57" s="39"/>
      <c r="O57" s="84"/>
      <c r="P57" s="40">
        <v>8</v>
      </c>
      <c r="Q57" s="52"/>
      <c r="R57" s="39"/>
      <c r="S57" s="84"/>
      <c r="T57" s="40">
        <v>8</v>
      </c>
      <c r="U57" s="52"/>
      <c r="V57" s="39"/>
      <c r="W57" s="383"/>
      <c r="X57" s="384"/>
      <c r="Y57" s="384"/>
      <c r="Z57" s="385"/>
    </row>
    <row r="58" spans="2:26" ht="14.45" customHeight="1">
      <c r="B58" s="466"/>
      <c r="C58" s="212" t="s">
        <v>89</v>
      </c>
      <c r="D58" s="212"/>
      <c r="E58" s="212"/>
      <c r="F58" s="213"/>
      <c r="G58" s="83"/>
      <c r="H58" s="50">
        <v>8</v>
      </c>
      <c r="I58" s="50"/>
      <c r="J58" s="51"/>
      <c r="K58" s="83"/>
      <c r="L58" s="50">
        <v>8</v>
      </c>
      <c r="M58" s="50"/>
      <c r="N58" s="51"/>
      <c r="O58" s="83"/>
      <c r="P58" s="50">
        <v>8</v>
      </c>
      <c r="Q58" s="50"/>
      <c r="R58" s="51"/>
      <c r="S58" s="83"/>
      <c r="T58" s="50">
        <v>8</v>
      </c>
      <c r="U58" s="50"/>
      <c r="V58" s="51"/>
      <c r="W58" s="383"/>
      <c r="X58" s="384"/>
      <c r="Y58" s="384"/>
      <c r="Z58" s="385"/>
    </row>
    <row r="59" spans="2:26" ht="14.45" customHeight="1" thickBot="1">
      <c r="B59" s="467"/>
      <c r="C59" s="218"/>
      <c r="D59" s="218"/>
      <c r="E59" s="218"/>
      <c r="F59" s="219"/>
      <c r="G59" s="53"/>
      <c r="H59" s="40">
        <v>8</v>
      </c>
      <c r="I59" s="40"/>
      <c r="J59" s="39"/>
      <c r="K59" s="53"/>
      <c r="L59" s="40">
        <v>8</v>
      </c>
      <c r="M59" s="40"/>
      <c r="N59" s="39"/>
      <c r="O59" s="53"/>
      <c r="P59" s="40">
        <v>8</v>
      </c>
      <c r="Q59" s="40"/>
      <c r="R59" s="39"/>
      <c r="S59" s="53"/>
      <c r="T59" s="40">
        <v>8</v>
      </c>
      <c r="U59" s="40"/>
      <c r="V59" s="39"/>
      <c r="W59" s="386"/>
      <c r="X59" s="387"/>
      <c r="Y59" s="387"/>
      <c r="Z59" s="388"/>
    </row>
    <row r="60" spans="2:26" ht="14.45" customHeight="1">
      <c r="B60" s="453" t="s">
        <v>96</v>
      </c>
      <c r="C60" s="454"/>
      <c r="D60" s="454"/>
      <c r="E60" s="454"/>
      <c r="F60" s="454"/>
      <c r="G60" s="454"/>
      <c r="H60" s="454"/>
      <c r="I60" s="454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5"/>
    </row>
    <row r="61" spans="2:26" ht="15" customHeight="1">
      <c r="B61" s="456"/>
      <c r="C61" s="457"/>
      <c r="D61" s="457"/>
      <c r="E61" s="457"/>
      <c r="F61" s="457"/>
      <c r="G61" s="457"/>
      <c r="H61" s="457"/>
      <c r="I61" s="457"/>
      <c r="J61" s="457"/>
      <c r="K61" s="457"/>
      <c r="L61" s="457"/>
      <c r="M61" s="457"/>
      <c r="N61" s="457"/>
      <c r="O61" s="457"/>
      <c r="P61" s="457"/>
      <c r="Q61" s="457"/>
      <c r="R61" s="457"/>
      <c r="S61" s="457"/>
      <c r="T61" s="457"/>
      <c r="U61" s="457"/>
      <c r="V61" s="457"/>
      <c r="W61" s="457"/>
      <c r="X61" s="457"/>
      <c r="Y61" s="457"/>
      <c r="Z61" s="458"/>
    </row>
    <row r="62" spans="2:26" ht="15" customHeight="1">
      <c r="B62" s="456"/>
      <c r="C62" s="457"/>
      <c r="D62" s="457"/>
      <c r="E62" s="457"/>
      <c r="F62" s="457"/>
      <c r="G62" s="457"/>
      <c r="H62" s="457"/>
      <c r="I62" s="457"/>
      <c r="J62" s="457"/>
      <c r="K62" s="457"/>
      <c r="L62" s="457"/>
      <c r="M62" s="457"/>
      <c r="N62" s="457"/>
      <c r="O62" s="457"/>
      <c r="P62" s="457"/>
      <c r="Q62" s="457"/>
      <c r="R62" s="457"/>
      <c r="S62" s="457"/>
      <c r="T62" s="457"/>
      <c r="U62" s="457"/>
      <c r="V62" s="457"/>
      <c r="W62" s="457"/>
      <c r="X62" s="457"/>
      <c r="Y62" s="457"/>
      <c r="Z62" s="458"/>
    </row>
    <row r="63" spans="2:26" ht="15" customHeight="1">
      <c r="B63" s="456"/>
      <c r="C63" s="457"/>
      <c r="D63" s="457"/>
      <c r="E63" s="457"/>
      <c r="F63" s="457"/>
      <c r="G63" s="457"/>
      <c r="H63" s="457"/>
      <c r="I63" s="457"/>
      <c r="J63" s="457"/>
      <c r="K63" s="457"/>
      <c r="L63" s="457"/>
      <c r="M63" s="457"/>
      <c r="N63" s="457"/>
      <c r="O63" s="457"/>
      <c r="P63" s="457"/>
      <c r="Q63" s="457"/>
      <c r="R63" s="457"/>
      <c r="S63" s="457"/>
      <c r="T63" s="457"/>
      <c r="U63" s="457"/>
      <c r="V63" s="457"/>
      <c r="W63" s="457"/>
      <c r="X63" s="457"/>
      <c r="Y63" s="457"/>
      <c r="Z63" s="458"/>
    </row>
    <row r="64" spans="2:26" ht="15" customHeight="1" thickBot="1">
      <c r="B64" s="459"/>
      <c r="C64" s="460"/>
      <c r="D64" s="460"/>
      <c r="E64" s="460"/>
      <c r="F64" s="460"/>
      <c r="G64" s="460"/>
      <c r="H64" s="460"/>
      <c r="I64" s="460"/>
      <c r="J64" s="460"/>
      <c r="K64" s="460"/>
      <c r="L64" s="460"/>
      <c r="M64" s="460"/>
      <c r="N64" s="460"/>
      <c r="O64" s="460"/>
      <c r="P64" s="460"/>
      <c r="Q64" s="460"/>
      <c r="R64" s="460"/>
      <c r="S64" s="460"/>
      <c r="T64" s="460"/>
      <c r="U64" s="460"/>
      <c r="V64" s="460"/>
      <c r="W64" s="460"/>
      <c r="X64" s="460"/>
      <c r="Y64" s="460"/>
      <c r="Z64" s="461"/>
    </row>
    <row r="65" spans="2:26"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</row>
    <row r="66" spans="2:26"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</row>
    <row r="67" spans="2:26"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</row>
    <row r="68" spans="2:26"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</row>
    <row r="69" spans="2:26"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</row>
    <row r="70" spans="2:26"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</row>
    <row r="71" spans="2:26"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</row>
    <row r="72" spans="2:26"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</row>
    <row r="73" spans="2:26"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spans="2:26"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</row>
    <row r="75" spans="2:26"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</row>
    <row r="76" spans="2:26"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</row>
    <row r="77" spans="2:26"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</row>
    <row r="78" spans="2:26"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</row>
    <row r="79" spans="2:26"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</row>
    <row r="80" spans="2:26"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spans="2:26"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spans="2:26"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</row>
    <row r="83" spans="2:26"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</row>
    <row r="84" spans="2:26"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</row>
    <row r="85" spans="2:26"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</row>
    <row r="86" spans="2:26"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</row>
    <row r="87" spans="2:26"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spans="2:26"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</row>
    <row r="89" spans="2:26"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</row>
    <row r="90" spans="2:26"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</row>
    <row r="91" spans="2:26"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</row>
    <row r="92" spans="2:26"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</row>
    <row r="93" spans="2:26"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spans="2:26"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</row>
    <row r="95" spans="2:26"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</row>
    <row r="96" spans="2:26"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</row>
    <row r="97" spans="2:26"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</row>
    <row r="98" spans="2:26"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</row>
    <row r="99" spans="2:26"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spans="2:26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</row>
    <row r="101" spans="2:26"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</row>
    <row r="102" spans="2:26"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</row>
    <row r="103" spans="2:26"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</row>
    <row r="104" spans="2:26"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</row>
    <row r="105" spans="2:26"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</row>
    <row r="106" spans="2:26"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</row>
    <row r="107" spans="2:26"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spans="2:26"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</row>
    <row r="109" spans="2:26"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</row>
    <row r="110" spans="2:26"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</row>
    <row r="111" spans="2:26"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</row>
    <row r="112" spans="2:26"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</row>
    <row r="113" spans="2:26"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</row>
    <row r="114" spans="2:26"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</row>
    <row r="115" spans="2:26"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</row>
    <row r="116" spans="2:26"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</row>
    <row r="117" spans="2:26"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</row>
    <row r="118" spans="2:26"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</row>
    <row r="119" spans="2:26"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</row>
    <row r="120" spans="2:26"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</row>
    <row r="121" spans="2:26"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</row>
    <row r="122" spans="2:26"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</row>
    <row r="123" spans="2:26"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</row>
    <row r="124" spans="2:26"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</row>
    <row r="125" spans="2:26"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</row>
    <row r="126" spans="2:26"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</row>
    <row r="127" spans="2:26"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</row>
    <row r="128" spans="2:26"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</row>
    <row r="129" spans="2:26"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</row>
    <row r="130" spans="2:26"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</row>
    <row r="131" spans="2:26"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</row>
    <row r="132" spans="2:26"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</row>
    <row r="133" spans="2:26"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</row>
    <row r="134" spans="2:26"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</row>
    <row r="135" spans="2:26"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</row>
    <row r="136" spans="2:26"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</row>
    <row r="137" spans="2:26"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</row>
    <row r="138" spans="2:26"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</row>
    <row r="139" spans="2:26"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</row>
    <row r="140" spans="2:26"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</row>
    <row r="141" spans="2:26"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</row>
    <row r="142" spans="2:26"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</row>
    <row r="143" spans="2:26"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</row>
    <row r="144" spans="2:26"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</row>
    <row r="145" spans="2:26"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</row>
    <row r="146" spans="2:26"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</row>
    <row r="147" spans="2:26"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</row>
    <row r="148" spans="2:26"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</row>
    <row r="149" spans="2:26"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</row>
    <row r="150" spans="2:26"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</row>
    <row r="151" spans="2:26"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</row>
    <row r="152" spans="2:26"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</row>
    <row r="153" spans="2:26"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</row>
    <row r="154" spans="2:26"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</row>
    <row r="155" spans="2:26"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</row>
    <row r="156" spans="2:26"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</row>
    <row r="157" spans="2:26"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</row>
    <row r="158" spans="2:26"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</row>
    <row r="159" spans="2:26"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</row>
    <row r="160" spans="2:26"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</row>
    <row r="161" spans="2:26"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</row>
    <row r="162" spans="2:26"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</row>
    <row r="163" spans="2:26"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</row>
    <row r="164" spans="2:26"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</row>
    <row r="165" spans="2:26"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</row>
    <row r="166" spans="2:26"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</row>
    <row r="167" spans="2:26"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</row>
    <row r="168" spans="2:26"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</row>
    <row r="169" spans="2:26"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</row>
    <row r="170" spans="2:26"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</row>
    <row r="171" spans="2:26"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</row>
    <row r="172" spans="2:26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</row>
    <row r="173" spans="2:26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</row>
    <row r="174" spans="2:26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</row>
    <row r="175" spans="2:26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</row>
    <row r="176" spans="2:26"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</row>
    <row r="177" spans="2:26"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</row>
    <row r="178" spans="2:26"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</row>
    <row r="179" spans="2:26"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</row>
    <row r="180" spans="2:26"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</row>
    <row r="181" spans="2:26"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</row>
    <row r="182" spans="2:26"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</row>
    <row r="183" spans="2:26"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</row>
    <row r="184" spans="2:26"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</row>
    <row r="185" spans="2:26"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</row>
    <row r="186" spans="2:26"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</row>
    <row r="187" spans="2:26"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</row>
    <row r="188" spans="2:26"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</row>
    <row r="189" spans="2:26"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</row>
    <row r="190" spans="2:26"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</row>
    <row r="191" spans="2:26"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</row>
    <row r="192" spans="2:26"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</row>
    <row r="193" spans="2:26"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</row>
    <row r="194" spans="2:26"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</row>
    <row r="195" spans="2:26"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</row>
    <row r="196" spans="2:26"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</row>
    <row r="197" spans="2:26"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</row>
    <row r="198" spans="2:26"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</row>
    <row r="199" spans="2:26"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</row>
    <row r="200" spans="2:26"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</row>
    <row r="201" spans="2:26"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</row>
    <row r="202" spans="2:26"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</row>
    <row r="203" spans="2:26"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</row>
    <row r="204" spans="2:26"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</row>
    <row r="205" spans="2:26"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</row>
    <row r="206" spans="2:26"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</row>
    <row r="207" spans="2:26"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</row>
    <row r="208" spans="2:26"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</row>
    <row r="209" spans="2:26"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</row>
    <row r="210" spans="2:26"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</row>
    <row r="211" spans="2:26"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</row>
    <row r="212" spans="2:26"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</row>
    <row r="213" spans="2:26"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</row>
    <row r="214" spans="2:26"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</row>
    <row r="215" spans="2:26"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</row>
    <row r="216" spans="2:26"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</row>
    <row r="217" spans="2:26"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</row>
    <row r="218" spans="2:26"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</row>
    <row r="219" spans="2:26"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</row>
    <row r="220" spans="2:26"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</row>
    <row r="221" spans="2:26"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</row>
    <row r="222" spans="2:26"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</row>
    <row r="223" spans="2:26"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</row>
    <row r="224" spans="2:26"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</row>
    <row r="225" spans="2:26"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</row>
    <row r="226" spans="2:26"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</row>
    <row r="227" spans="2:26"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</row>
    <row r="228" spans="2:26"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</row>
    <row r="229" spans="2:26"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</row>
    <row r="230" spans="2:26"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</row>
    <row r="231" spans="2:26"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</row>
    <row r="232" spans="2:26"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</row>
    <row r="233" spans="2:26"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</row>
    <row r="234" spans="2:26"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</row>
    <row r="235" spans="2:26"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</row>
    <row r="236" spans="2:26"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</row>
    <row r="237" spans="2:26"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</row>
    <row r="238" spans="2:26"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</row>
    <row r="239" spans="2:26"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</row>
    <row r="240" spans="2:26"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</row>
    <row r="241" spans="2:26"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</row>
    <row r="242" spans="2:26"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</row>
    <row r="243" spans="2:26"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</row>
    <row r="244" spans="2:26"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</row>
    <row r="245" spans="2:26"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</row>
    <row r="246" spans="2:26"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</row>
    <row r="247" spans="2:26"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</row>
    <row r="248" spans="2:26"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</row>
    <row r="249" spans="2:26"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</row>
    <row r="250" spans="2:26"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</row>
    <row r="251" spans="2:26"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</row>
    <row r="252" spans="2:26"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</row>
    <row r="253" spans="2:26"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</row>
    <row r="254" spans="2:26"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</row>
    <row r="255" spans="2:26"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</row>
    <row r="256" spans="2:26"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</row>
    <row r="257" spans="2:26"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</row>
    <row r="258" spans="2:26"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</row>
    <row r="259" spans="2:26"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</row>
    <row r="260" spans="2:26"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</row>
    <row r="261" spans="2:26"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</row>
    <row r="262" spans="2:26"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</row>
    <row r="263" spans="2:26"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</row>
    <row r="264" spans="2:26"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</row>
    <row r="265" spans="2:26"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</row>
    <row r="266" spans="2:26"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</row>
    <row r="267" spans="2:26"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</row>
    <row r="268" spans="2:26"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</row>
    <row r="269" spans="2:26"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</row>
    <row r="270" spans="2:26"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</row>
    <row r="271" spans="2:26"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</row>
    <row r="272" spans="2:26"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</row>
    <row r="273" spans="2:26"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</row>
    <row r="274" spans="2:26"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</row>
    <row r="275" spans="2:26"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</row>
    <row r="276" spans="2:26"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</row>
    <row r="277" spans="2:26"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</row>
    <row r="278" spans="2:26"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</row>
  </sheetData>
  <mergeCells count="148">
    <mergeCell ref="K3:M3"/>
    <mergeCell ref="U3:Y3"/>
    <mergeCell ref="K4:M4"/>
    <mergeCell ref="U4:Y5"/>
    <mergeCell ref="K5:M5"/>
    <mergeCell ref="B8:H9"/>
    <mergeCell ref="I8:R9"/>
    <mergeCell ref="S8:S9"/>
    <mergeCell ref="T8:U9"/>
    <mergeCell ref="V8:V9"/>
    <mergeCell ref="W8:Z9"/>
    <mergeCell ref="B10:V10"/>
    <mergeCell ref="W10:Z10"/>
    <mergeCell ref="B11:F11"/>
    <mergeCell ref="G11:J11"/>
    <mergeCell ref="K11:N11"/>
    <mergeCell ref="O11:R11"/>
    <mergeCell ref="S11:V11"/>
    <mergeCell ref="W11:Z11"/>
    <mergeCell ref="B12:F12"/>
    <mergeCell ref="W12:Z12"/>
    <mergeCell ref="B13:F15"/>
    <mergeCell ref="G13:J15"/>
    <mergeCell ref="K13:N15"/>
    <mergeCell ref="O13:R15"/>
    <mergeCell ref="S13:V15"/>
    <mergeCell ref="W13:Z13"/>
    <mergeCell ref="W14:Z14"/>
    <mergeCell ref="W15:Z15"/>
    <mergeCell ref="B16:F16"/>
    <mergeCell ref="W16:Z16"/>
    <mergeCell ref="B17:F17"/>
    <mergeCell ref="W17:Z17"/>
    <mergeCell ref="B18:F26"/>
    <mergeCell ref="G18:H18"/>
    <mergeCell ref="K18:L18"/>
    <mergeCell ref="O18:P18"/>
    <mergeCell ref="S18:T18"/>
    <mergeCell ref="W18:Z18"/>
    <mergeCell ref="G19:I19"/>
    <mergeCell ref="K19:M19"/>
    <mergeCell ref="O19:Q19"/>
    <mergeCell ref="S19:U19"/>
    <mergeCell ref="W19:Z19"/>
    <mergeCell ref="G20:I20"/>
    <mergeCell ref="K20:M20"/>
    <mergeCell ref="O20:Q20"/>
    <mergeCell ref="S20:U20"/>
    <mergeCell ref="W20:Z20"/>
    <mergeCell ref="G21:H21"/>
    <mergeCell ref="K21:L21"/>
    <mergeCell ref="O21:P21"/>
    <mergeCell ref="S21:T21"/>
    <mergeCell ref="W21:Z21"/>
    <mergeCell ref="G22:I22"/>
    <mergeCell ref="K22:M22"/>
    <mergeCell ref="O22:Q22"/>
    <mergeCell ref="S22:U22"/>
    <mergeCell ref="W22:Z22"/>
    <mergeCell ref="G23:I23"/>
    <mergeCell ref="K23:M23"/>
    <mergeCell ref="O23:Q23"/>
    <mergeCell ref="S23:U23"/>
    <mergeCell ref="W23:Z23"/>
    <mergeCell ref="G24:H24"/>
    <mergeCell ref="K24:L24"/>
    <mergeCell ref="O24:P24"/>
    <mergeCell ref="S24:T24"/>
    <mergeCell ref="B27:B29"/>
    <mergeCell ref="C27:F29"/>
    <mergeCell ref="B30:E30"/>
    <mergeCell ref="B31:E31"/>
    <mergeCell ref="W30:Z30"/>
    <mergeCell ref="W31:Z31"/>
    <mergeCell ref="G25:I25"/>
    <mergeCell ref="K25:M25"/>
    <mergeCell ref="O25:Q25"/>
    <mergeCell ref="S25:U25"/>
    <mergeCell ref="G26:I26"/>
    <mergeCell ref="K26:M26"/>
    <mergeCell ref="O26:Q26"/>
    <mergeCell ref="S26:U26"/>
    <mergeCell ref="B32:B34"/>
    <mergeCell ref="C32:F34"/>
    <mergeCell ref="G33:J33"/>
    <mergeCell ref="K33:N33"/>
    <mergeCell ref="O33:R33"/>
    <mergeCell ref="S33:V33"/>
    <mergeCell ref="W34:X35"/>
    <mergeCell ref="B35:E35"/>
    <mergeCell ref="G35:J35"/>
    <mergeCell ref="K35:N35"/>
    <mergeCell ref="O35:R35"/>
    <mergeCell ref="S35:V35"/>
    <mergeCell ref="B36:E36"/>
    <mergeCell ref="B37:B41"/>
    <mergeCell ref="C37:F41"/>
    <mergeCell ref="G38:J38"/>
    <mergeCell ref="K38:N38"/>
    <mergeCell ref="O38:R38"/>
    <mergeCell ref="B42:B46"/>
    <mergeCell ref="C42:F46"/>
    <mergeCell ref="G43:J43"/>
    <mergeCell ref="K43:N43"/>
    <mergeCell ref="O43:R43"/>
    <mergeCell ref="S43:V43"/>
    <mergeCell ref="G45:J45"/>
    <mergeCell ref="K45:N45"/>
    <mergeCell ref="S38:V38"/>
    <mergeCell ref="G40:J40"/>
    <mergeCell ref="K40:N40"/>
    <mergeCell ref="O40:R40"/>
    <mergeCell ref="S40:V40"/>
    <mergeCell ref="C56:F57"/>
    <mergeCell ref="C58:F59"/>
    <mergeCell ref="B60:Z64"/>
    <mergeCell ref="W24:Z24"/>
    <mergeCell ref="W25:Z25"/>
    <mergeCell ref="W26:X26"/>
    <mergeCell ref="W27:X27"/>
    <mergeCell ref="W28:X28"/>
    <mergeCell ref="W29:X29"/>
    <mergeCell ref="G50:J50"/>
    <mergeCell ref="K50:N50"/>
    <mergeCell ref="O50:R50"/>
    <mergeCell ref="S50:V50"/>
    <mergeCell ref="B52:B59"/>
    <mergeCell ref="C52:F53"/>
    <mergeCell ref="C54:F55"/>
    <mergeCell ref="O45:R45"/>
    <mergeCell ref="S45:V45"/>
    <mergeCell ref="B47:B51"/>
    <mergeCell ref="C47:F51"/>
    <mergeCell ref="G48:J48"/>
    <mergeCell ref="K48:N48"/>
    <mergeCell ref="O48:R48"/>
    <mergeCell ref="S48:V48"/>
    <mergeCell ref="W45:X46"/>
    <mergeCell ref="W47:X48"/>
    <mergeCell ref="W49:Z49"/>
    <mergeCell ref="W50:Z50"/>
    <mergeCell ref="W51:Z59"/>
    <mergeCell ref="W32:X33"/>
    <mergeCell ref="W36:X37"/>
    <mergeCell ref="W38:X39"/>
    <mergeCell ref="W40:Z40"/>
    <mergeCell ref="W41:X42"/>
    <mergeCell ref="W43:X44"/>
  </mergeCells>
  <dataValidations count="1">
    <dataValidation type="list" allowBlank="1" showInputMessage="1" showErrorMessage="1" sqref="B31:E31 B36:E36" xr:uid="{EE6DD239-5C07-42B7-9340-2225A9CA4A89}">
      <formula1>$N$3:$T$3</formula1>
    </dataValidation>
  </dataValidations>
  <pageMargins left="0.25" right="0.25" top="0.75" bottom="0.75" header="0.3" footer="0.3"/>
  <pageSetup paperSize="3" scale="6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Printall_Click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4</xdr:col>
                    <xdr:colOff>257175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Preview_Click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4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1151D-4BE6-45FA-91F2-07A87F97F32A}">
          <x14:formula1>
            <xm:f>_members!$A$2:$A$35</xm:f>
          </x14:formula1>
          <xm:sqref>I8:R9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BBDB10-E0EB-4614-A12D-625C27FC64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_members</vt:lpstr>
      <vt:lpstr>_dayone</vt:lpstr>
      <vt:lpstr>_daytwo</vt:lpstr>
      <vt:lpstr>_daythree</vt:lpstr>
      <vt:lpstr>MEMBERMAXES</vt:lpstr>
      <vt:lpstr>_daythree!TypeMax</vt:lpstr>
      <vt:lpstr>_daytwo!TypeMax</vt:lpstr>
      <vt:lpstr>TypeMax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Pcmajor</dc:creator>
  <cp:lastModifiedBy>Matthew</cp:lastModifiedBy>
  <cp:lastPrinted>2020-10-20T18:53:34Z</cp:lastPrinted>
  <dcterms:created xsi:type="dcterms:W3CDTF">2015-04-09T02:15:34Z</dcterms:created>
  <dcterms:modified xsi:type="dcterms:W3CDTF">2020-10-20T18:53:37Z</dcterms:modified>
</cp:coreProperties>
</file>